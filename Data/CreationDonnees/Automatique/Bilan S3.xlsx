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1"/>
  </bookViews>
  <sheets>
    <sheet name="Liste" sheetId="1" state="visible" r:id="rId2"/>
    <sheet name="Matieres" sheetId="2" state="visible" r:id="rId3"/>
    <sheet name="Detail Notes S3" sheetId="3" state="visible" r:id="rId4"/>
    <sheet name="Décisions" sheetId="4" state="visible" r:id="rId5"/>
    <sheet name="Absences" sheetId="5" state="visible" r:id="rId6"/>
    <sheet name="SE3" sheetId="6" state="visible" r:id="rId7"/>
    <sheet name="RX2" sheetId="7" state="visible" r:id="rId8"/>
  </sheets>
  <calcPr iterateCount="100" refMode="A1" iterate="false" iterateDelta="0.001"/>
</workbook>
</file>

<file path=xl/sharedStrings.xml><?xml version="1.0" encoding="utf-8"?>
<sst xmlns="http://schemas.openxmlformats.org/spreadsheetml/2006/main" count="629" uniqueCount="319">
  <si>
    <t>Numéro</t>
  </si>
  <si>
    <t>Nom</t>
  </si>
  <si>
    <t>Prénom</t>
  </si>
  <si>
    <t>Groupe</t>
  </si>
  <si>
    <t>Date</t>
  </si>
  <si>
    <t>Bac</t>
  </si>
  <si>
    <t>Lycée/etablissement</t>
  </si>
  <si>
    <t>20150926</t>
  </si>
  <si>
    <t>BAUDELET</t>
  </si>
  <si>
    <t>Geoffrey</t>
  </si>
  <si>
    <t>2-B</t>
  </si>
  <si>
    <t>S</t>
  </si>
  <si>
    <t>Université Lille 1</t>
  </si>
  <si>
    <t>20150927</t>
  </si>
  <si>
    <t>BIGARD</t>
  </si>
  <si>
    <t>Samuel</t>
  </si>
  <si>
    <t>2-C</t>
  </si>
  <si>
    <t>Lycée Carnot</t>
  </si>
  <si>
    <t>20150928</t>
  </si>
  <si>
    <t>BISSON</t>
  </si>
  <si>
    <t>Julien</t>
  </si>
  <si>
    <t>2-A</t>
  </si>
  <si>
    <t>Lycée Diderot</t>
  </si>
  <si>
    <t>20150929</t>
  </si>
  <si>
    <t>BONTE</t>
  </si>
  <si>
    <t>Nicolas</t>
  </si>
  <si>
    <t>s</t>
  </si>
  <si>
    <t>Lycée Albert Chatelet</t>
  </si>
  <si>
    <t>20150930</t>
  </si>
  <si>
    <t>BOULNOIS</t>
  </si>
  <si>
    <t>Louis</t>
  </si>
  <si>
    <t>Lycée A. Malraux</t>
  </si>
  <si>
    <t>20150931</t>
  </si>
  <si>
    <t>CHATELET</t>
  </si>
  <si>
    <t>Hadrien</t>
  </si>
  <si>
    <t>Lycée MARGUERITE DE FLANDRE</t>
  </si>
  <si>
    <t>20150932</t>
  </si>
  <si>
    <t>CLEROT</t>
  </si>
  <si>
    <t>Jérémy</t>
  </si>
  <si>
    <t>Université d'Artois - Site de Lens</t>
  </si>
  <si>
    <t>20150933</t>
  </si>
  <si>
    <t>CORNU</t>
  </si>
  <si>
    <t>Bastien</t>
  </si>
  <si>
    <t>STI2D</t>
  </si>
  <si>
    <t>Lycée Frédéric OZANAM</t>
  </si>
  <si>
    <t>20150934</t>
  </si>
  <si>
    <t>DACHY</t>
  </si>
  <si>
    <t>Remy</t>
  </si>
  <si>
    <t>20150935</t>
  </si>
  <si>
    <t>DANGLETERRE</t>
  </si>
  <si>
    <t>Thomas</t>
  </si>
  <si>
    <t>Lycée Arthur Rimbaud</t>
  </si>
  <si>
    <t>20150936</t>
  </si>
  <si>
    <t>DEBACKER</t>
  </si>
  <si>
    <t>Lycée professionnel Léo Lagrange</t>
  </si>
  <si>
    <t>20150937</t>
  </si>
  <si>
    <t>DELBREUVE</t>
  </si>
  <si>
    <t>Benjamin</t>
  </si>
  <si>
    <t>Lycée Jean Prouve</t>
  </si>
  <si>
    <t>20150938</t>
  </si>
  <si>
    <t>DEROSNE</t>
  </si>
  <si>
    <t>Florentin</t>
  </si>
  <si>
    <t>Lycée Andre Malraux</t>
  </si>
  <si>
    <t>20150939</t>
  </si>
  <si>
    <t>DUHAUT</t>
  </si>
  <si>
    <t>Lycée Louis Pasteur</t>
  </si>
  <si>
    <t>20150940</t>
  </si>
  <si>
    <t>DUMETZ</t>
  </si>
  <si>
    <t>Joffrey</t>
  </si>
  <si>
    <t>Lycée Blaise Pascal</t>
  </si>
  <si>
    <t>20150941</t>
  </si>
  <si>
    <t>FEVRIER</t>
  </si>
  <si>
    <t>Tennessee</t>
  </si>
  <si>
    <t>Lycée Fernand Darchicourt</t>
  </si>
  <si>
    <t>20150942</t>
  </si>
  <si>
    <t>FORGET</t>
  </si>
  <si>
    <t>Kévin</t>
  </si>
  <si>
    <t>Lycée Saint Riquier</t>
  </si>
  <si>
    <t>20150943</t>
  </si>
  <si>
    <t>FROISSART</t>
  </si>
  <si>
    <t>Marie</t>
  </si>
  <si>
    <t>Lycée Paul Duez</t>
  </si>
  <si>
    <t>20150944</t>
  </si>
  <si>
    <t>FRUY</t>
  </si>
  <si>
    <t>Sébastien</t>
  </si>
  <si>
    <t>Lycée Condorcet</t>
  </si>
  <si>
    <t>20150945</t>
  </si>
  <si>
    <t>GEERAERT</t>
  </si>
  <si>
    <t>Quentin</t>
  </si>
  <si>
    <t>20150946</t>
  </si>
  <si>
    <t>GREMBER</t>
  </si>
  <si>
    <t>20150947</t>
  </si>
  <si>
    <t>HENNAUT</t>
  </si>
  <si>
    <t>Thibaut</t>
  </si>
  <si>
    <t>ES</t>
  </si>
  <si>
    <t>GAMBETTA CARNOT</t>
  </si>
  <si>
    <t>20150948</t>
  </si>
  <si>
    <t>KURZAWSKI</t>
  </si>
  <si>
    <t>Pierre</t>
  </si>
  <si>
    <t>Lycée Anatole France</t>
  </si>
  <si>
    <t>20150949</t>
  </si>
  <si>
    <t>LAMBERSENS</t>
  </si>
  <si>
    <t>Adrien</t>
  </si>
  <si>
    <t>Lycée Voltaire</t>
  </si>
  <si>
    <t>20150950</t>
  </si>
  <si>
    <t>LE FOLL</t>
  </si>
  <si>
    <t>Coralie</t>
  </si>
  <si>
    <t>Lycée Saint-Paul</t>
  </si>
  <si>
    <t>20150951</t>
  </si>
  <si>
    <t>LECHA</t>
  </si>
  <si>
    <t>20150952</t>
  </si>
  <si>
    <t>LEFAIT</t>
  </si>
  <si>
    <t>Romain</t>
  </si>
  <si>
    <t>I.U.T. de Lille A</t>
  </si>
  <si>
    <t>20150953</t>
  </si>
  <si>
    <t>LEFEBVRE</t>
  </si>
  <si>
    <t>Jéremy</t>
  </si>
  <si>
    <t>20150954</t>
  </si>
  <si>
    <t>20150955</t>
  </si>
  <si>
    <t>LEGRAND</t>
  </si>
  <si>
    <t>Baptiste</t>
  </si>
  <si>
    <t>20150956</t>
  </si>
  <si>
    <t>LEGRU</t>
  </si>
  <si>
    <t>Florent</t>
  </si>
  <si>
    <t>20150957</t>
  </si>
  <si>
    <t>LEMAITRE</t>
  </si>
  <si>
    <t>Valentin</t>
  </si>
  <si>
    <t>STI2D </t>
  </si>
  <si>
    <t>André Malraux</t>
  </si>
  <si>
    <t>20150958</t>
  </si>
  <si>
    <t>LESAFFRE</t>
  </si>
  <si>
    <t>IG2I</t>
  </si>
  <si>
    <t>20150959</t>
  </si>
  <si>
    <t>LETERTRE</t>
  </si>
  <si>
    <t>Florian</t>
  </si>
  <si>
    <t>Lycée Guy Mollet</t>
  </si>
  <si>
    <t>20150960</t>
  </si>
  <si>
    <t>LONGOUR</t>
  </si>
  <si>
    <t>David</t>
  </si>
  <si>
    <t>20150961</t>
  </si>
  <si>
    <t>LOOPE</t>
  </si>
  <si>
    <t>Giovanni</t>
  </si>
  <si>
    <t>Lycée Henri Darras</t>
  </si>
  <si>
    <t>20150962</t>
  </si>
  <si>
    <t>MAERTEN</t>
  </si>
  <si>
    <t>20150963</t>
  </si>
  <si>
    <t>MAILLOT</t>
  </si>
  <si>
    <t>Maxime</t>
  </si>
  <si>
    <t>LYCEE GENERAL INTERNAT D'EXCELLENCE</t>
  </si>
  <si>
    <t>20150964</t>
  </si>
  <si>
    <t>MARIE</t>
  </si>
  <si>
    <t>20150965</t>
  </si>
  <si>
    <t>MARTIN</t>
  </si>
  <si>
    <t>Alexandre</t>
  </si>
  <si>
    <t>Lycée Cesar Baggio</t>
  </si>
  <si>
    <t>20150966</t>
  </si>
  <si>
    <t>MASSELOT</t>
  </si>
  <si>
    <t>20150967</t>
  </si>
  <si>
    <t>MERLIN</t>
  </si>
  <si>
    <t>Anthony</t>
  </si>
  <si>
    <t>20150968</t>
  </si>
  <si>
    <t>PETIT</t>
  </si>
  <si>
    <t>Chloe</t>
  </si>
  <si>
    <t>20150969</t>
  </si>
  <si>
    <t>POLAN</t>
  </si>
  <si>
    <t>20150970</t>
  </si>
  <si>
    <t>POUILLY</t>
  </si>
  <si>
    <t>Gaetan</t>
  </si>
  <si>
    <t>20150971</t>
  </si>
  <si>
    <t>ROLAND</t>
  </si>
  <si>
    <t>Jeremie</t>
  </si>
  <si>
    <t>20150972</t>
  </si>
  <si>
    <t>ROTTIERS</t>
  </si>
  <si>
    <t>Theo</t>
  </si>
  <si>
    <t>20150973</t>
  </si>
  <si>
    <t>SACRE</t>
  </si>
  <si>
    <t>Lycée SAINT-LUC</t>
  </si>
  <si>
    <t>20150974</t>
  </si>
  <si>
    <t>SCHILLER</t>
  </si>
  <si>
    <t>Dylan</t>
  </si>
  <si>
    <t>20150975</t>
  </si>
  <si>
    <t>SURET</t>
  </si>
  <si>
    <t>20150976</t>
  </si>
  <si>
    <t>SZKARADEK</t>
  </si>
  <si>
    <t>Thibaud</t>
  </si>
  <si>
    <t>Lycée Auguste Behal</t>
  </si>
  <si>
    <t>20150977</t>
  </si>
  <si>
    <t>SZYMURA</t>
  </si>
  <si>
    <t>20150978</t>
  </si>
  <si>
    <t>TANG</t>
  </si>
  <si>
    <t>Frédéric</t>
  </si>
  <si>
    <t>20150979</t>
  </si>
  <si>
    <t>TASSART</t>
  </si>
  <si>
    <t>DAEU</t>
  </si>
  <si>
    <t>20150980</t>
  </si>
  <si>
    <t>THERAGE</t>
  </si>
  <si>
    <t>Lucas</t>
  </si>
  <si>
    <t>20150981</t>
  </si>
  <si>
    <t>THOMAS</t>
  </si>
  <si>
    <t>Université d'Artois - Site d'Arras</t>
  </si>
  <si>
    <t>20150982</t>
  </si>
  <si>
    <t>VANDEWOORDE</t>
  </si>
  <si>
    <t>Aymeric</t>
  </si>
  <si>
    <t>Lycée Edouard Branly</t>
  </si>
  <si>
    <t>20150983</t>
  </si>
  <si>
    <t>VANROY</t>
  </si>
  <si>
    <t>Lycée Paul Gauguin</t>
  </si>
  <si>
    <t>20150984</t>
  </si>
  <si>
    <t>VELLA</t>
  </si>
  <si>
    <t>Emanuele</t>
  </si>
  <si>
    <t>20150985</t>
  </si>
  <si>
    <t>VERPOEST</t>
  </si>
  <si>
    <t>Sylvain</t>
  </si>
  <si>
    <t>20150986</t>
  </si>
  <si>
    <t>WICART</t>
  </si>
  <si>
    <t>Melvin</t>
  </si>
  <si>
    <t>Lycée Jean Monnet</t>
  </si>
  <si>
    <t>Référence</t>
  </si>
  <si>
    <t>Nom Module</t>
  </si>
  <si>
    <t>Abréviation</t>
  </si>
  <si>
    <t>Coefficient</t>
  </si>
  <si>
    <t>UE</t>
  </si>
  <si>
    <t>Semestre</t>
  </si>
  <si>
    <t>M3101</t>
  </si>
  <si>
    <t>Principes des systèmes d'exploitation </t>
  </si>
  <si>
    <t>SE-3</t>
  </si>
  <si>
    <t>UE31</t>
  </si>
  <si>
    <t>S3</t>
  </si>
  <si>
    <t>M3102</t>
  </si>
  <si>
    <t>Services réseaux </t>
  </si>
  <si>
    <t>RX-2</t>
  </si>
  <si>
    <t>M3103</t>
  </si>
  <si>
    <t>Algorithmique avancée</t>
  </si>
  <si>
    <t>APA</t>
  </si>
  <si>
    <t>M3104</t>
  </si>
  <si>
    <t>Programmation Web côté serveur </t>
  </si>
  <si>
    <t>Pweb-1</t>
  </si>
  <si>
    <t>M3105</t>
  </si>
  <si>
    <t>Conception et programmation objet avancées </t>
  </si>
  <si>
    <t>CPA</t>
  </si>
  <si>
    <t>M3106</t>
  </si>
  <si>
    <t>Bases de données avancées </t>
  </si>
  <si>
    <t>BDA</t>
  </si>
  <si>
    <t>M3201</t>
  </si>
  <si>
    <t>Probabilités et statistiques </t>
  </si>
  <si>
    <t>Proba</t>
  </si>
  <si>
    <t>UE32</t>
  </si>
  <si>
    <t>M3202</t>
  </si>
  <si>
    <t>Modélisations mathématiques </t>
  </si>
  <si>
    <t>ModMath</t>
  </si>
  <si>
    <t>M3203</t>
  </si>
  <si>
    <t>Droit des technologies de l’information et de la communication (TIC) </t>
  </si>
  <si>
    <t>Droit</t>
  </si>
  <si>
    <t>M3204</t>
  </si>
  <si>
    <t>Gestion des systèmes d'information </t>
  </si>
  <si>
    <t>GSI</t>
  </si>
  <si>
    <t>M3205</t>
  </si>
  <si>
    <t>Expression-Communication – Communication professionnelle </t>
  </si>
  <si>
    <t>Com</t>
  </si>
  <si>
    <t>M3206</t>
  </si>
  <si>
    <t>Collaborer en anglais</t>
  </si>
  <si>
    <t>Ang-3</t>
  </si>
  <si>
    <t>M3301</t>
  </si>
  <si>
    <t>Méthodologie de la production d’applications </t>
  </si>
  <si>
    <t>ProdApp</t>
  </si>
  <si>
    <t>UE33</t>
  </si>
  <si>
    <t>M3302</t>
  </si>
  <si>
    <t>Projet tutoré – Mise en situation professionnelle </t>
  </si>
  <si>
    <t>PT-3</t>
  </si>
  <si>
    <t>M3303</t>
  </si>
  <si>
    <t>PPP – Préciser son projet </t>
  </si>
  <si>
    <t>PPP-3</t>
  </si>
  <si>
    <t>Informatique Avancé</t>
  </si>
  <si>
    <t>Culture scientifique, sociale et humaine avancées</t>
  </si>
  <si>
    <t>Méthodologie et Projets</t>
  </si>
  <si>
    <t>Département</t>
  </si>
  <si>
    <t>INFO</t>
  </si>
  <si>
    <t>Année</t>
  </si>
  <si>
    <t>INFO2</t>
  </si>
  <si>
    <t>Date début</t>
  </si>
  <si>
    <t>Date de fin </t>
  </si>
  <si>
    <t>31/06/2017</t>
  </si>
  <si>
    <t>M S3</t>
  </si>
  <si>
    <t>Rang</t>
  </si>
  <si>
    <t>UE31 INFO</t>
  </si>
  <si>
    <t>UE32 CCG</t>
  </si>
  <si>
    <t>UE33 PT</t>
  </si>
  <si>
    <t>M3101 SE3</t>
  </si>
  <si>
    <t>M3102 RX</t>
  </si>
  <si>
    <t>M3103 APA</t>
  </si>
  <si>
    <t>M3104 Pweb</t>
  </si>
  <si>
    <t>M3105 CPA</t>
  </si>
  <si>
    <t>M3106 BDA</t>
  </si>
  <si>
    <t>M3201 PROBA</t>
  </si>
  <si>
    <t>M3202 ModMath</t>
  </si>
  <si>
    <t>M3203 Droit</t>
  </si>
  <si>
    <t>M3204 GSI</t>
  </si>
  <si>
    <t>M3205 Com</t>
  </si>
  <si>
    <t>M3206 Ang-3</t>
  </si>
  <si>
    <t>M3301 ProdApp</t>
  </si>
  <si>
    <t>M3302 PT-3</t>
  </si>
  <si>
    <t>M3303 PPP-3</t>
  </si>
  <si>
    <t>Bonus sport :note-10</t>
  </si>
  <si>
    <t>xxxxxxxxx</t>
  </si>
  <si>
    <t>Moyenne</t>
  </si>
  <si>
    <t>Max</t>
  </si>
  <si>
    <t>Min</t>
  </si>
  <si>
    <t>Décisions</t>
  </si>
  <si>
    <t>Commentaires </t>
  </si>
  <si>
    <t>Problème de santé </t>
  </si>
  <si>
    <t>ABI</t>
  </si>
  <si>
    <t>seuil</t>
  </si>
  <si>
    <t>J</t>
  </si>
  <si>
    <t>NJ</t>
  </si>
  <si>
    <t>Code</t>
  </si>
  <si>
    <t>Intitulé</t>
  </si>
  <si>
    <t>Responsable</t>
  </si>
  <si>
    <t>Olivier Roussel</t>
  </si>
  <si>
    <t>Jean François Condotta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</si>
</sst>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"/>
    <numFmt numFmtId="166" formatCode="DD/MM/YYYY"/>
    <numFmt numFmtId="167" formatCode="#.00"/>
    <numFmt numFmtId="168" formatCode="0.00"/>
    <numFmt numFmtId="169" formatCode="0"/>
    <numFmt numFmtId="170" formatCode="0.00%"/>
    <numFmt numFmtId="171" formatCode="0.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S Sans Serif"/>
      <family val="2"/>
    </font>
    <font>
      <sz val="10"/>
      <color rgb="FFFF3333"/>
      <name val="Arial Unicode MS"/>
      <family val="2"/>
    </font>
    <font>
      <b val="true"/>
      <sz val="11"/>
      <name val="Arial"/>
      <family val="2"/>
    </font>
    <font>
      <b val="true"/>
      <sz val="12"/>
      <name val="Arial"/>
      <family val="2"/>
    </font>
    <font>
      <sz val="11"/>
      <name val="Times New Roman"/>
      <family val="1"/>
    </font>
    <font>
      <b val="true"/>
      <sz val="10"/>
      <name val="Arial"/>
      <family val="2"/>
    </font>
    <font>
      <sz val="10"/>
      <name val="Times New Roman"/>
      <family val="1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>
        <color rgb="FF313739"/>
      </left>
      <right style="hair">
        <color rgb="FF313739"/>
      </right>
      <top style="hair">
        <color rgb="FF313739"/>
      </top>
      <bottom style="hair">
        <color rgb="FF313739"/>
      </bottom>
      <diagonal/>
    </border>
    <border diagonalUp="false" diagonalDown="false">
      <left/>
      <right style="thin"/>
      <top/>
      <bottom style="thick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false" applyAlignment="false" applyProtection="false"/>
    <xf numFmtId="164" fontId="5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71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9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Normal_import97" xfId="20" builtinId="53" customBuiltin="true"/>
    <cellStyle name="Sans nom1" xfId="21" builtinId="53" customBuiltin="true"/>
    <cellStyle name="Sans nom2" xfId="22" builtinId="53" customBuiltin="true"/>
  </cellStyles>
  <dxfs count="1">
    <dxf/>
  </dxfs>
  <colors>
    <indexedColors>
      <rgbColor rgb="FF000000"/>
      <rgbColor rgb="FFFFFFFF"/>
      <rgbColor rgb="FFFF333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137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3"/>
  <sheetViews>
    <sheetView windowProtection="false" showFormulas="false" showGridLines="true" showRowColHeaders="true" showZeros="true" rightToLeft="false" tabSelected="false" showOutlineSymbols="true" defaultGridColor="true" view="normal" topLeftCell="A48" colorId="64" zoomScale="140" zoomScaleNormal="140" zoomScalePageLayoutView="100" workbookViewId="0">
      <selection pane="topLeft" activeCell="E51" activeCellId="0" sqref="E51"/>
    </sheetView>
  </sheetViews>
  <sheetFormatPr defaultRowHeight="12.8"/>
  <cols>
    <col collapsed="false" hidden="false" max="1" min="1" style="0" width="11.5204081632653"/>
    <col collapsed="false" hidden="false" max="2" min="2" style="0" width="20.25"/>
    <col collapsed="false" hidden="false" max="5" min="3" style="0" width="11.5204081632653"/>
    <col collapsed="false" hidden="false" max="6" min="6" style="1" width="11.5204081632653"/>
    <col collapsed="false" hidden="false" max="7" min="7" style="0" width="33.75"/>
    <col collapsed="false" hidden="false" max="1025" min="8" style="0" width="11.5204081632653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0" t="s">
        <v>4</v>
      </c>
      <c r="F1" s="1" t="s">
        <v>5</v>
      </c>
      <c r="G1" s="0" t="s">
        <v>6</v>
      </c>
    </row>
    <row r="2" customFormat="false" ht="15" hidden="false" customHeight="false" outlineLevel="0" collapsed="false">
      <c r="A2" s="1"/>
      <c r="B2" s="4"/>
      <c r="C2" s="4"/>
      <c r="D2" s="4"/>
    </row>
    <row r="3" customFormat="false" ht="14.65" hidden="false" customHeight="false" outlineLevel="0" collapsed="false">
      <c r="A3" s="1" t="s">
        <v>7</v>
      </c>
      <c r="B3" s="5" t="s">
        <v>8</v>
      </c>
      <c r="C3" s="5" t="s">
        <v>9</v>
      </c>
      <c r="D3" s="6" t="s">
        <v>10</v>
      </c>
      <c r="E3" s="7" t="n">
        <v>35284</v>
      </c>
      <c r="F3" s="8" t="s">
        <v>11</v>
      </c>
      <c r="G3" s="9" t="s">
        <v>12</v>
      </c>
    </row>
    <row r="4" customFormat="false" ht="14.65" hidden="false" customHeight="false" outlineLevel="0" collapsed="false">
      <c r="A4" s="1" t="s">
        <v>13</v>
      </c>
      <c r="B4" s="10" t="s">
        <v>14</v>
      </c>
      <c r="C4" s="10" t="s">
        <v>15</v>
      </c>
      <c r="D4" s="11" t="s">
        <v>16</v>
      </c>
      <c r="E4" s="7" t="n">
        <v>35716</v>
      </c>
      <c r="F4" s="8" t="s">
        <v>11</v>
      </c>
      <c r="G4" s="9" t="s">
        <v>17</v>
      </c>
    </row>
    <row r="5" customFormat="false" ht="14.65" hidden="false" customHeight="false" outlineLevel="0" collapsed="false">
      <c r="A5" s="1" t="s">
        <v>18</v>
      </c>
      <c r="B5" s="10" t="s">
        <v>19</v>
      </c>
      <c r="C5" s="10" t="s">
        <v>20</v>
      </c>
      <c r="D5" s="11" t="s">
        <v>21</v>
      </c>
      <c r="E5" s="7" t="n">
        <v>35499</v>
      </c>
      <c r="F5" s="8" t="s">
        <v>11</v>
      </c>
      <c r="G5" s="9" t="s">
        <v>22</v>
      </c>
    </row>
    <row r="6" customFormat="false" ht="14.65" hidden="false" customHeight="false" outlineLevel="0" collapsed="false">
      <c r="A6" s="1" t="s">
        <v>23</v>
      </c>
      <c r="B6" s="10" t="s">
        <v>24</v>
      </c>
      <c r="C6" s="10" t="s">
        <v>25</v>
      </c>
      <c r="D6" s="11" t="s">
        <v>21</v>
      </c>
      <c r="E6" s="7" t="n">
        <v>34799</v>
      </c>
      <c r="F6" s="8" t="s">
        <v>26</v>
      </c>
      <c r="G6" s="9" t="s">
        <v>27</v>
      </c>
    </row>
    <row r="7" customFormat="false" ht="14.65" hidden="false" customHeight="false" outlineLevel="0" collapsed="false">
      <c r="A7" s="1" t="s">
        <v>28</v>
      </c>
      <c r="B7" s="10" t="s">
        <v>29</v>
      </c>
      <c r="C7" s="10" t="s">
        <v>30</v>
      </c>
      <c r="D7" s="11" t="s">
        <v>21</v>
      </c>
      <c r="E7" s="7" t="n">
        <v>35182</v>
      </c>
      <c r="F7" s="8" t="s">
        <v>11</v>
      </c>
      <c r="G7" s="9" t="s">
        <v>31</v>
      </c>
    </row>
    <row r="8" customFormat="false" ht="14.65" hidden="false" customHeight="false" outlineLevel="0" collapsed="false">
      <c r="A8" s="1" t="s">
        <v>32</v>
      </c>
      <c r="B8" s="5" t="s">
        <v>33</v>
      </c>
      <c r="C8" s="5" t="s">
        <v>34</v>
      </c>
      <c r="D8" s="6" t="s">
        <v>10</v>
      </c>
      <c r="E8" s="7" t="n">
        <v>36189</v>
      </c>
      <c r="F8" s="8" t="s">
        <v>11</v>
      </c>
      <c r="G8" s="9" t="s">
        <v>35</v>
      </c>
    </row>
    <row r="9" customFormat="false" ht="14.65" hidden="false" customHeight="false" outlineLevel="0" collapsed="false">
      <c r="A9" s="1" t="s">
        <v>36</v>
      </c>
      <c r="B9" s="10" t="s">
        <v>37</v>
      </c>
      <c r="C9" s="10" t="s">
        <v>38</v>
      </c>
      <c r="D9" s="11" t="s">
        <v>16</v>
      </c>
      <c r="E9" s="7" t="n">
        <v>35782</v>
      </c>
      <c r="F9" s="8" t="s">
        <v>11</v>
      </c>
      <c r="G9" s="9" t="s">
        <v>39</v>
      </c>
    </row>
    <row r="10" customFormat="false" ht="14.65" hidden="false" customHeight="false" outlineLevel="0" collapsed="false">
      <c r="A10" s="1" t="s">
        <v>40</v>
      </c>
      <c r="B10" s="10" t="s">
        <v>41</v>
      </c>
      <c r="C10" s="10" t="s">
        <v>42</v>
      </c>
      <c r="D10" s="11" t="s">
        <v>16</v>
      </c>
      <c r="E10" s="7" t="n">
        <v>35509</v>
      </c>
      <c r="F10" s="8" t="s">
        <v>43</v>
      </c>
      <c r="G10" s="9" t="s">
        <v>44</v>
      </c>
    </row>
    <row r="11" customFormat="false" ht="14.65" hidden="false" customHeight="false" outlineLevel="0" collapsed="false">
      <c r="A11" s="1" t="s">
        <v>45</v>
      </c>
      <c r="B11" s="12" t="s">
        <v>46</v>
      </c>
      <c r="C11" s="12" t="s">
        <v>47</v>
      </c>
      <c r="D11" s="6" t="s">
        <v>10</v>
      </c>
      <c r="E11" s="7" t="n">
        <v>35108</v>
      </c>
      <c r="F11" s="8" t="s">
        <v>11</v>
      </c>
      <c r="G11" s="9" t="s">
        <v>27</v>
      </c>
    </row>
    <row r="12" customFormat="false" ht="14.65" hidden="false" customHeight="false" outlineLevel="0" collapsed="false">
      <c r="A12" s="1" t="s">
        <v>48</v>
      </c>
      <c r="B12" s="10" t="s">
        <v>49</v>
      </c>
      <c r="C12" s="10" t="s">
        <v>50</v>
      </c>
      <c r="D12" s="11" t="s">
        <v>16</v>
      </c>
      <c r="E12" s="7" t="n">
        <v>35699</v>
      </c>
      <c r="F12" s="8" t="s">
        <v>11</v>
      </c>
      <c r="G12" s="9" t="s">
        <v>51</v>
      </c>
    </row>
    <row r="13" customFormat="false" ht="14.65" hidden="false" customHeight="false" outlineLevel="0" collapsed="false">
      <c r="A13" s="1" t="s">
        <v>52</v>
      </c>
      <c r="B13" s="10" t="s">
        <v>53</v>
      </c>
      <c r="C13" s="10" t="s">
        <v>50</v>
      </c>
      <c r="D13" s="11" t="s">
        <v>16</v>
      </c>
      <c r="E13" s="7" t="n">
        <v>35638</v>
      </c>
      <c r="F13" s="8" t="s">
        <v>26</v>
      </c>
      <c r="G13" s="9" t="s">
        <v>54</v>
      </c>
    </row>
    <row r="14" customFormat="false" ht="14.65" hidden="false" customHeight="false" outlineLevel="0" collapsed="false">
      <c r="A14" s="1" t="s">
        <v>55</v>
      </c>
      <c r="B14" s="10" t="s">
        <v>56</v>
      </c>
      <c r="C14" s="10" t="s">
        <v>57</v>
      </c>
      <c r="D14" s="11" t="s">
        <v>16</v>
      </c>
      <c r="E14" s="7" t="n">
        <v>35785</v>
      </c>
      <c r="F14" s="8" t="s">
        <v>11</v>
      </c>
      <c r="G14" s="9" t="s">
        <v>58</v>
      </c>
    </row>
    <row r="15" customFormat="false" ht="14.65" hidden="false" customHeight="false" outlineLevel="0" collapsed="false">
      <c r="A15" s="1" t="s">
        <v>59</v>
      </c>
      <c r="B15" s="12" t="s">
        <v>60</v>
      </c>
      <c r="C15" s="12" t="s">
        <v>61</v>
      </c>
      <c r="D15" s="6" t="s">
        <v>10</v>
      </c>
      <c r="E15" s="7" t="n">
        <v>34866</v>
      </c>
      <c r="F15" s="8" t="s">
        <v>11</v>
      </c>
      <c r="G15" s="9" t="s">
        <v>62</v>
      </c>
    </row>
    <row r="16" customFormat="false" ht="14.65" hidden="false" customHeight="false" outlineLevel="0" collapsed="false">
      <c r="A16" s="1" t="s">
        <v>63</v>
      </c>
      <c r="B16" s="10" t="s">
        <v>64</v>
      </c>
      <c r="C16" s="10" t="s">
        <v>50</v>
      </c>
      <c r="D16" s="11" t="s">
        <v>21</v>
      </c>
      <c r="E16" s="7" t="n">
        <v>35255</v>
      </c>
      <c r="F16" s="8" t="s">
        <v>11</v>
      </c>
      <c r="G16" s="9" t="s">
        <v>65</v>
      </c>
    </row>
    <row r="17" customFormat="false" ht="14.65" hidden="false" customHeight="false" outlineLevel="0" collapsed="false">
      <c r="A17" s="1" t="s">
        <v>66</v>
      </c>
      <c r="B17" s="10" t="s">
        <v>67</v>
      </c>
      <c r="C17" s="10" t="s">
        <v>68</v>
      </c>
      <c r="D17" s="11" t="s">
        <v>16</v>
      </c>
      <c r="E17" s="7" t="n">
        <v>34123</v>
      </c>
      <c r="F17" s="8" t="s">
        <v>43</v>
      </c>
      <c r="G17" s="9" t="s">
        <v>69</v>
      </c>
    </row>
    <row r="18" customFormat="false" ht="14.65" hidden="false" customHeight="false" outlineLevel="0" collapsed="false">
      <c r="A18" s="1" t="s">
        <v>70</v>
      </c>
      <c r="B18" s="10" t="s">
        <v>71</v>
      </c>
      <c r="C18" s="10" t="s">
        <v>72</v>
      </c>
      <c r="D18" s="11" t="s">
        <v>16</v>
      </c>
      <c r="E18" s="7" t="n">
        <v>34369</v>
      </c>
      <c r="F18" s="8" t="s">
        <v>11</v>
      </c>
      <c r="G18" s="9" t="s">
        <v>73</v>
      </c>
    </row>
    <row r="19" customFormat="false" ht="14.65" hidden="false" customHeight="false" outlineLevel="0" collapsed="false">
      <c r="A19" s="1" t="s">
        <v>74</v>
      </c>
      <c r="B19" s="12" t="s">
        <v>75</v>
      </c>
      <c r="C19" s="12" t="s">
        <v>76</v>
      </c>
      <c r="D19" s="6" t="s">
        <v>10</v>
      </c>
      <c r="E19" s="7" t="n">
        <v>35763</v>
      </c>
      <c r="F19" s="8" t="s">
        <v>43</v>
      </c>
      <c r="G19" s="9" t="s">
        <v>77</v>
      </c>
    </row>
    <row r="20" customFormat="false" ht="14.65" hidden="false" customHeight="false" outlineLevel="0" collapsed="false">
      <c r="A20" s="1" t="s">
        <v>78</v>
      </c>
      <c r="B20" s="12" t="s">
        <v>79</v>
      </c>
      <c r="C20" s="12" t="s">
        <v>80</v>
      </c>
      <c r="D20" s="6" t="s">
        <v>10</v>
      </c>
      <c r="E20" s="7" t="n">
        <v>35757</v>
      </c>
      <c r="F20" s="8" t="s">
        <v>11</v>
      </c>
      <c r="G20" s="9" t="s">
        <v>81</v>
      </c>
    </row>
    <row r="21" customFormat="false" ht="14.65" hidden="false" customHeight="false" outlineLevel="0" collapsed="false">
      <c r="A21" s="1" t="s">
        <v>82</v>
      </c>
      <c r="B21" s="12" t="s">
        <v>83</v>
      </c>
      <c r="C21" s="12" t="s">
        <v>84</v>
      </c>
      <c r="D21" s="6" t="s">
        <v>10</v>
      </c>
      <c r="E21" s="7" t="n">
        <v>35463</v>
      </c>
      <c r="F21" s="8" t="s">
        <v>11</v>
      </c>
      <c r="G21" s="9" t="s">
        <v>85</v>
      </c>
    </row>
    <row r="22" customFormat="false" ht="14.65" hidden="false" customHeight="false" outlineLevel="0" collapsed="false">
      <c r="A22" s="1" t="s">
        <v>86</v>
      </c>
      <c r="B22" s="10" t="s">
        <v>87</v>
      </c>
      <c r="C22" s="10" t="s">
        <v>88</v>
      </c>
      <c r="D22" s="11" t="s">
        <v>16</v>
      </c>
      <c r="E22" s="7" t="n">
        <v>35387</v>
      </c>
      <c r="F22" s="8" t="s">
        <v>11</v>
      </c>
      <c r="G22" s="9" t="s">
        <v>73</v>
      </c>
    </row>
    <row r="23" customFormat="false" ht="14.65" hidden="false" customHeight="false" outlineLevel="0" collapsed="false">
      <c r="A23" s="1" t="s">
        <v>89</v>
      </c>
      <c r="B23" s="10" t="s">
        <v>90</v>
      </c>
      <c r="C23" s="10" t="s">
        <v>25</v>
      </c>
      <c r="D23" s="11" t="s">
        <v>21</v>
      </c>
      <c r="E23" s="7" t="n">
        <v>35371</v>
      </c>
      <c r="F23" s="8" t="s">
        <v>11</v>
      </c>
      <c r="G23" s="9" t="s">
        <v>62</v>
      </c>
    </row>
    <row r="24" customFormat="false" ht="14.65" hidden="false" customHeight="false" outlineLevel="0" collapsed="false">
      <c r="A24" s="1" t="s">
        <v>91</v>
      </c>
      <c r="B24" s="10" t="s">
        <v>92</v>
      </c>
      <c r="C24" s="10" t="s">
        <v>93</v>
      </c>
      <c r="D24" s="11" t="s">
        <v>21</v>
      </c>
      <c r="E24" s="7" t="n">
        <v>35726</v>
      </c>
      <c r="F24" s="8" t="s">
        <v>94</v>
      </c>
      <c r="G24" s="9" t="s">
        <v>95</v>
      </c>
    </row>
    <row r="25" customFormat="false" ht="14.65" hidden="false" customHeight="false" outlineLevel="0" collapsed="false">
      <c r="A25" s="1" t="s">
        <v>96</v>
      </c>
      <c r="B25" s="12" t="s">
        <v>97</v>
      </c>
      <c r="C25" s="12" t="s">
        <v>98</v>
      </c>
      <c r="D25" s="6" t="s">
        <v>10</v>
      </c>
      <c r="E25" s="7" t="n">
        <v>35807</v>
      </c>
      <c r="F25" s="8" t="s">
        <v>94</v>
      </c>
      <c r="G25" s="9" t="s">
        <v>99</v>
      </c>
    </row>
    <row r="26" customFormat="false" ht="14.65" hidden="false" customHeight="false" outlineLevel="0" collapsed="false">
      <c r="A26" s="1" t="s">
        <v>100</v>
      </c>
      <c r="B26" s="12" t="s">
        <v>101</v>
      </c>
      <c r="C26" s="12" t="s">
        <v>102</v>
      </c>
      <c r="D26" s="6" t="s">
        <v>10</v>
      </c>
      <c r="E26" s="7" t="n">
        <v>35540</v>
      </c>
      <c r="F26" s="8" t="s">
        <v>11</v>
      </c>
      <c r="G26" s="9" t="s">
        <v>103</v>
      </c>
    </row>
    <row r="27" customFormat="false" ht="14.65" hidden="false" customHeight="false" outlineLevel="0" collapsed="false">
      <c r="A27" s="1" t="s">
        <v>104</v>
      </c>
      <c r="B27" s="10" t="s">
        <v>105</v>
      </c>
      <c r="C27" s="10" t="s">
        <v>106</v>
      </c>
      <c r="D27" s="11" t="s">
        <v>21</v>
      </c>
      <c r="E27" s="7" t="n">
        <v>35730</v>
      </c>
      <c r="F27" s="8" t="s">
        <v>94</v>
      </c>
      <c r="G27" s="9" t="s">
        <v>107</v>
      </c>
    </row>
    <row r="28" customFormat="false" ht="14.65" hidden="false" customHeight="false" outlineLevel="0" collapsed="false">
      <c r="A28" s="1" t="s">
        <v>108</v>
      </c>
      <c r="B28" s="10" t="s">
        <v>109</v>
      </c>
      <c r="C28" s="10" t="s">
        <v>57</v>
      </c>
      <c r="D28" s="11" t="s">
        <v>16</v>
      </c>
      <c r="E28" s="7" t="n">
        <v>35773</v>
      </c>
      <c r="F28" s="8" t="s">
        <v>11</v>
      </c>
      <c r="G28" s="9" t="s">
        <v>27</v>
      </c>
    </row>
    <row r="29" customFormat="false" ht="14.65" hidden="false" customHeight="false" outlineLevel="0" collapsed="false">
      <c r="A29" s="1" t="s">
        <v>110</v>
      </c>
      <c r="B29" s="12" t="s">
        <v>111</v>
      </c>
      <c r="C29" s="12" t="s">
        <v>112</v>
      </c>
      <c r="D29" s="6" t="s">
        <v>10</v>
      </c>
      <c r="E29" s="7" t="n">
        <v>35378</v>
      </c>
      <c r="F29" s="8" t="s">
        <v>26</v>
      </c>
      <c r="G29" s="9" t="s">
        <v>113</v>
      </c>
    </row>
    <row r="30" customFormat="false" ht="14.65" hidden="false" customHeight="false" outlineLevel="0" collapsed="false">
      <c r="A30" s="1" t="s">
        <v>114</v>
      </c>
      <c r="B30" s="12" t="s">
        <v>115</v>
      </c>
      <c r="C30" s="12" t="s">
        <v>116</v>
      </c>
      <c r="D30" s="6" t="s">
        <v>10</v>
      </c>
      <c r="E30" s="7" t="n">
        <v>35331</v>
      </c>
      <c r="F30" s="8" t="s">
        <v>11</v>
      </c>
      <c r="G30" s="9" t="s">
        <v>17</v>
      </c>
    </row>
    <row r="31" customFormat="false" ht="14.65" hidden="false" customHeight="false" outlineLevel="0" collapsed="false">
      <c r="A31" s="1" t="s">
        <v>117</v>
      </c>
      <c r="B31" s="10" t="s">
        <v>115</v>
      </c>
      <c r="C31" s="10" t="s">
        <v>76</v>
      </c>
      <c r="D31" s="11" t="s">
        <v>21</v>
      </c>
      <c r="E31" s="7" t="n">
        <v>35731</v>
      </c>
      <c r="F31" s="8" t="s">
        <v>11</v>
      </c>
      <c r="G31" s="9" t="s">
        <v>103</v>
      </c>
    </row>
    <row r="32" customFormat="false" ht="14.65" hidden="false" customHeight="false" outlineLevel="0" collapsed="false">
      <c r="A32" s="1" t="s">
        <v>118</v>
      </c>
      <c r="B32" s="10" t="s">
        <v>119</v>
      </c>
      <c r="C32" s="10" t="s">
        <v>120</v>
      </c>
      <c r="D32" s="11" t="s">
        <v>16</v>
      </c>
      <c r="E32" s="7" t="n">
        <v>35467</v>
      </c>
      <c r="F32" s="8" t="s">
        <v>11</v>
      </c>
      <c r="G32" s="9" t="s">
        <v>73</v>
      </c>
    </row>
    <row r="33" customFormat="false" ht="14.65" hidden="false" customHeight="false" outlineLevel="0" collapsed="false">
      <c r="A33" s="1" t="s">
        <v>121</v>
      </c>
      <c r="B33" s="12" t="s">
        <v>122</v>
      </c>
      <c r="C33" s="12" t="s">
        <v>123</v>
      </c>
      <c r="D33" s="6" t="s">
        <v>10</v>
      </c>
      <c r="E33" s="7" t="n">
        <v>35464</v>
      </c>
      <c r="F33" s="8" t="s">
        <v>11</v>
      </c>
      <c r="G33" s="9" t="s">
        <v>17</v>
      </c>
    </row>
    <row r="34" customFormat="false" ht="14.65" hidden="false" customHeight="false" outlineLevel="0" collapsed="false">
      <c r="A34" s="1" t="s">
        <v>124</v>
      </c>
      <c r="B34" s="10" t="s">
        <v>125</v>
      </c>
      <c r="C34" s="10" t="s">
        <v>126</v>
      </c>
      <c r="D34" s="11" t="s">
        <v>16</v>
      </c>
      <c r="E34" s="7" t="n">
        <v>35360</v>
      </c>
      <c r="F34" s="8" t="s">
        <v>127</v>
      </c>
      <c r="G34" s="9" t="s">
        <v>128</v>
      </c>
    </row>
    <row r="35" customFormat="false" ht="14.65" hidden="false" customHeight="false" outlineLevel="0" collapsed="false">
      <c r="A35" s="1" t="s">
        <v>129</v>
      </c>
      <c r="B35" s="10" t="s">
        <v>130</v>
      </c>
      <c r="C35" s="10" t="s">
        <v>112</v>
      </c>
      <c r="D35" s="11" t="s">
        <v>21</v>
      </c>
      <c r="E35" s="7" t="n">
        <v>35235</v>
      </c>
      <c r="F35" s="8" t="s">
        <v>11</v>
      </c>
      <c r="G35" s="9" t="s">
        <v>131</v>
      </c>
    </row>
    <row r="36" customFormat="false" ht="14.65" hidden="false" customHeight="false" outlineLevel="0" collapsed="false">
      <c r="A36" s="1" t="s">
        <v>132</v>
      </c>
      <c r="B36" s="10" t="s">
        <v>133</v>
      </c>
      <c r="C36" s="10" t="s">
        <v>134</v>
      </c>
      <c r="D36" s="11" t="s">
        <v>16</v>
      </c>
      <c r="E36" s="7" t="n">
        <v>35648</v>
      </c>
      <c r="F36" s="8" t="s">
        <v>11</v>
      </c>
      <c r="G36" s="9" t="s">
        <v>135</v>
      </c>
    </row>
    <row r="37" customFormat="false" ht="14.65" hidden="false" customHeight="false" outlineLevel="0" collapsed="false">
      <c r="A37" s="1" t="s">
        <v>136</v>
      </c>
      <c r="B37" s="10" t="s">
        <v>137</v>
      </c>
      <c r="C37" s="10" t="s">
        <v>138</v>
      </c>
      <c r="D37" s="11" t="s">
        <v>21</v>
      </c>
      <c r="E37" s="7" t="n">
        <v>35758</v>
      </c>
      <c r="F37" s="8" t="s">
        <v>11</v>
      </c>
      <c r="G37" s="9" t="s">
        <v>135</v>
      </c>
    </row>
    <row r="38" customFormat="false" ht="14.65" hidden="false" customHeight="false" outlineLevel="0" collapsed="false">
      <c r="A38" s="1" t="s">
        <v>139</v>
      </c>
      <c r="B38" s="10" t="s">
        <v>140</v>
      </c>
      <c r="C38" s="10" t="s">
        <v>141</v>
      </c>
      <c r="D38" s="11" t="s">
        <v>21</v>
      </c>
      <c r="E38" s="7" t="n">
        <v>35571</v>
      </c>
      <c r="F38" s="8" t="s">
        <v>11</v>
      </c>
      <c r="G38" s="9" t="s">
        <v>142</v>
      </c>
    </row>
    <row r="39" customFormat="false" ht="14.65" hidden="false" customHeight="false" outlineLevel="0" collapsed="false">
      <c r="A39" s="1" t="s">
        <v>143</v>
      </c>
      <c r="B39" s="10" t="s">
        <v>144</v>
      </c>
      <c r="C39" s="10" t="s">
        <v>25</v>
      </c>
      <c r="D39" s="11" t="s">
        <v>21</v>
      </c>
      <c r="E39" s="7" t="n">
        <v>35728</v>
      </c>
      <c r="F39" s="8" t="s">
        <v>11</v>
      </c>
      <c r="G39" s="9" t="s">
        <v>131</v>
      </c>
    </row>
    <row r="40" customFormat="false" ht="14.65" hidden="false" customHeight="false" outlineLevel="0" collapsed="false">
      <c r="A40" s="1" t="s">
        <v>145</v>
      </c>
      <c r="B40" s="12" t="s">
        <v>146</v>
      </c>
      <c r="C40" s="12" t="s">
        <v>147</v>
      </c>
      <c r="D40" s="6" t="s">
        <v>10</v>
      </c>
      <c r="E40" s="7" t="n">
        <v>35827</v>
      </c>
      <c r="F40" s="8" t="s">
        <v>11</v>
      </c>
      <c r="G40" s="9" t="s">
        <v>148</v>
      </c>
    </row>
    <row r="41" customFormat="false" ht="14.65" hidden="false" customHeight="false" outlineLevel="0" collapsed="false">
      <c r="A41" s="1" t="s">
        <v>149</v>
      </c>
      <c r="B41" s="10" t="s">
        <v>150</v>
      </c>
      <c r="C41" s="10" t="s">
        <v>30</v>
      </c>
      <c r="D41" s="11" t="s">
        <v>21</v>
      </c>
      <c r="E41" s="7" t="n">
        <v>34277</v>
      </c>
      <c r="F41" s="8" t="s">
        <v>43</v>
      </c>
      <c r="G41" s="9" t="s">
        <v>65</v>
      </c>
    </row>
    <row r="42" customFormat="false" ht="14.65" hidden="false" customHeight="false" outlineLevel="0" collapsed="false">
      <c r="A42" s="1" t="s">
        <v>151</v>
      </c>
      <c r="B42" s="10" t="s">
        <v>152</v>
      </c>
      <c r="C42" s="10" t="s">
        <v>153</v>
      </c>
      <c r="D42" s="11" t="s">
        <v>16</v>
      </c>
      <c r="E42" s="7" t="n">
        <v>35612</v>
      </c>
      <c r="F42" s="8" t="s">
        <v>26</v>
      </c>
      <c r="G42" s="9" t="s">
        <v>154</v>
      </c>
    </row>
    <row r="43" customFormat="false" ht="14.65" hidden="false" customHeight="false" outlineLevel="0" collapsed="false">
      <c r="A43" s="1" t="s">
        <v>155</v>
      </c>
      <c r="B43" s="10" t="s">
        <v>156</v>
      </c>
      <c r="C43" s="10" t="s">
        <v>112</v>
      </c>
      <c r="D43" s="11" t="s">
        <v>21</v>
      </c>
      <c r="E43" s="7" t="n">
        <v>35647</v>
      </c>
      <c r="F43" s="8" t="s">
        <v>11</v>
      </c>
      <c r="G43" s="9" t="s">
        <v>131</v>
      </c>
    </row>
    <row r="44" customFormat="false" ht="14.65" hidden="false" customHeight="false" outlineLevel="0" collapsed="false">
      <c r="A44" s="1" t="s">
        <v>157</v>
      </c>
      <c r="B44" s="10" t="s">
        <v>158</v>
      </c>
      <c r="C44" s="10" t="s">
        <v>159</v>
      </c>
      <c r="D44" s="11" t="s">
        <v>21</v>
      </c>
      <c r="E44" s="7" t="n">
        <v>35285</v>
      </c>
      <c r="F44" s="8" t="s">
        <v>43</v>
      </c>
      <c r="G44" s="9" t="s">
        <v>62</v>
      </c>
    </row>
    <row r="45" customFormat="false" ht="14.65" hidden="false" customHeight="false" outlineLevel="0" collapsed="false">
      <c r="A45" s="1" t="s">
        <v>160</v>
      </c>
      <c r="B45" s="10" t="s">
        <v>161</v>
      </c>
      <c r="C45" s="10" t="s">
        <v>162</v>
      </c>
      <c r="D45" s="11" t="s">
        <v>16</v>
      </c>
      <c r="E45" s="7" t="n">
        <v>35778</v>
      </c>
      <c r="F45" s="8" t="s">
        <v>26</v>
      </c>
      <c r="G45" s="9" t="s">
        <v>131</v>
      </c>
    </row>
    <row r="46" customFormat="false" ht="14.65" hidden="false" customHeight="false" outlineLevel="0" collapsed="false">
      <c r="A46" s="1" t="s">
        <v>163</v>
      </c>
      <c r="B46" s="10" t="s">
        <v>164</v>
      </c>
      <c r="C46" s="10" t="s">
        <v>9</v>
      </c>
      <c r="D46" s="11" t="s">
        <v>21</v>
      </c>
      <c r="E46" s="7" t="n">
        <v>35146</v>
      </c>
      <c r="F46" s="8" t="s">
        <v>43</v>
      </c>
      <c r="G46" s="9" t="s">
        <v>142</v>
      </c>
    </row>
    <row r="47" customFormat="false" ht="14.65" hidden="false" customHeight="false" outlineLevel="0" collapsed="false">
      <c r="A47" s="1" t="s">
        <v>165</v>
      </c>
      <c r="B47" s="12" t="s">
        <v>166</v>
      </c>
      <c r="C47" s="12" t="s">
        <v>167</v>
      </c>
      <c r="D47" s="6" t="s">
        <v>10</v>
      </c>
      <c r="E47" s="7" t="n">
        <v>35733</v>
      </c>
      <c r="F47" s="8" t="s">
        <v>11</v>
      </c>
      <c r="G47" s="9" t="s">
        <v>135</v>
      </c>
    </row>
    <row r="48" customFormat="false" ht="14.65" hidden="false" customHeight="false" outlineLevel="0" collapsed="false">
      <c r="A48" s="1" t="s">
        <v>168</v>
      </c>
      <c r="B48" s="10" t="s">
        <v>169</v>
      </c>
      <c r="C48" s="10" t="s">
        <v>170</v>
      </c>
      <c r="D48" s="11" t="s">
        <v>16</v>
      </c>
      <c r="E48" s="7" t="n">
        <v>35361</v>
      </c>
      <c r="F48" s="8" t="s">
        <v>11</v>
      </c>
      <c r="G48" s="9" t="s">
        <v>51</v>
      </c>
    </row>
    <row r="49" customFormat="false" ht="14.65" hidden="false" customHeight="false" outlineLevel="0" collapsed="false">
      <c r="A49" s="1" t="s">
        <v>171</v>
      </c>
      <c r="B49" s="12" t="s">
        <v>172</v>
      </c>
      <c r="C49" s="12" t="s">
        <v>173</v>
      </c>
      <c r="D49" s="6" t="s">
        <v>10</v>
      </c>
      <c r="E49" s="7" t="n">
        <v>35625</v>
      </c>
      <c r="F49" s="8" t="s">
        <v>43</v>
      </c>
      <c r="G49" s="9" t="s">
        <v>65</v>
      </c>
    </row>
    <row r="50" customFormat="false" ht="14.65" hidden="false" customHeight="false" outlineLevel="0" collapsed="false">
      <c r="A50" s="1" t="s">
        <v>174</v>
      </c>
      <c r="B50" s="12" t="s">
        <v>175</v>
      </c>
      <c r="C50" s="12" t="s">
        <v>98</v>
      </c>
      <c r="D50" s="6" t="s">
        <v>10</v>
      </c>
      <c r="E50" s="7" t="n">
        <v>35676</v>
      </c>
      <c r="F50" s="8" t="s">
        <v>11</v>
      </c>
      <c r="G50" s="9" t="s">
        <v>176</v>
      </c>
    </row>
    <row r="51" customFormat="false" ht="14.65" hidden="false" customHeight="false" outlineLevel="0" collapsed="false">
      <c r="A51" s="1" t="s">
        <v>177</v>
      </c>
      <c r="B51" s="10" t="s">
        <v>178</v>
      </c>
      <c r="C51" s="10" t="s">
        <v>179</v>
      </c>
      <c r="D51" s="11" t="s">
        <v>16</v>
      </c>
      <c r="E51" s="7" t="n">
        <v>35089</v>
      </c>
      <c r="F51" s="8" t="s">
        <v>11</v>
      </c>
      <c r="G51" s="9" t="s">
        <v>135</v>
      </c>
    </row>
    <row r="52" customFormat="false" ht="14.65" hidden="false" customHeight="false" outlineLevel="0" collapsed="false">
      <c r="A52" s="1" t="s">
        <v>180</v>
      </c>
      <c r="B52" s="10" t="s">
        <v>181</v>
      </c>
      <c r="C52" s="10" t="s">
        <v>76</v>
      </c>
      <c r="D52" s="11" t="s">
        <v>21</v>
      </c>
      <c r="E52" s="7" t="n">
        <v>35254</v>
      </c>
      <c r="F52" s="8" t="s">
        <v>43</v>
      </c>
      <c r="G52" s="9" t="s">
        <v>65</v>
      </c>
    </row>
    <row r="53" customFormat="false" ht="14.65" hidden="false" customHeight="false" outlineLevel="0" collapsed="false">
      <c r="A53" s="1" t="s">
        <v>182</v>
      </c>
      <c r="B53" s="12" t="s">
        <v>183</v>
      </c>
      <c r="C53" s="12" t="s">
        <v>184</v>
      </c>
      <c r="D53" s="6" t="s">
        <v>10</v>
      </c>
      <c r="E53" s="7" t="n">
        <v>35730</v>
      </c>
      <c r="F53" s="8" t="s">
        <v>26</v>
      </c>
      <c r="G53" s="9" t="s">
        <v>185</v>
      </c>
    </row>
    <row r="54" customFormat="false" ht="14.65" hidden="false" customHeight="false" outlineLevel="0" collapsed="false">
      <c r="A54" s="1" t="s">
        <v>186</v>
      </c>
      <c r="B54" s="10" t="s">
        <v>187</v>
      </c>
      <c r="C54" s="10" t="s">
        <v>153</v>
      </c>
      <c r="D54" s="11" t="s">
        <v>16</v>
      </c>
      <c r="E54" s="7" t="n">
        <v>35132</v>
      </c>
      <c r="F54" s="8" t="s">
        <v>43</v>
      </c>
      <c r="G54" s="9" t="s">
        <v>62</v>
      </c>
    </row>
    <row r="55" customFormat="false" ht="14.65" hidden="false" customHeight="false" outlineLevel="0" collapsed="false">
      <c r="A55" s="1" t="s">
        <v>188</v>
      </c>
      <c r="B55" s="10" t="s">
        <v>189</v>
      </c>
      <c r="C55" s="10" t="s">
        <v>190</v>
      </c>
      <c r="D55" s="11" t="s">
        <v>16</v>
      </c>
      <c r="E55" s="7" t="n">
        <v>35290</v>
      </c>
      <c r="F55" s="8" t="s">
        <v>11</v>
      </c>
      <c r="G55" s="9" t="s">
        <v>142</v>
      </c>
    </row>
    <row r="56" customFormat="false" ht="14.65" hidden="false" customHeight="false" outlineLevel="0" collapsed="false">
      <c r="A56" s="1" t="s">
        <v>191</v>
      </c>
      <c r="B56" s="12" t="s">
        <v>192</v>
      </c>
      <c r="C56" s="12" t="s">
        <v>153</v>
      </c>
      <c r="D56" s="6" t="s">
        <v>10</v>
      </c>
      <c r="E56" s="7" t="n">
        <v>35646</v>
      </c>
      <c r="F56" s="8" t="s">
        <v>193</v>
      </c>
      <c r="G56" s="9" t="s">
        <v>39</v>
      </c>
    </row>
    <row r="57" customFormat="false" ht="14.65" hidden="false" customHeight="false" outlineLevel="0" collapsed="false">
      <c r="A57" s="1" t="s">
        <v>194</v>
      </c>
      <c r="B57" s="10" t="s">
        <v>195</v>
      </c>
      <c r="C57" s="10" t="s">
        <v>196</v>
      </c>
      <c r="D57" s="11" t="s">
        <v>21</v>
      </c>
      <c r="E57" s="7" t="n">
        <v>35903</v>
      </c>
      <c r="F57" s="8" t="s">
        <v>43</v>
      </c>
      <c r="G57" s="9" t="s">
        <v>62</v>
      </c>
    </row>
    <row r="58" customFormat="false" ht="14.65" hidden="false" customHeight="false" outlineLevel="0" collapsed="false">
      <c r="A58" s="1" t="s">
        <v>197</v>
      </c>
      <c r="B58" s="12" t="s">
        <v>198</v>
      </c>
      <c r="C58" s="12" t="s">
        <v>30</v>
      </c>
      <c r="D58" s="6" t="s">
        <v>10</v>
      </c>
      <c r="E58" s="7" t="n">
        <v>35920</v>
      </c>
      <c r="F58" s="8" t="s">
        <v>26</v>
      </c>
      <c r="G58" s="9" t="s">
        <v>199</v>
      </c>
    </row>
    <row r="59" customFormat="false" ht="14.65" hidden="false" customHeight="false" outlineLevel="0" collapsed="false">
      <c r="A59" s="1" t="s">
        <v>200</v>
      </c>
      <c r="B59" s="12" t="s">
        <v>201</v>
      </c>
      <c r="C59" s="12" t="s">
        <v>202</v>
      </c>
      <c r="D59" s="6" t="s">
        <v>10</v>
      </c>
      <c r="E59" s="7" t="n">
        <v>35110</v>
      </c>
      <c r="F59" s="8" t="s">
        <v>43</v>
      </c>
      <c r="G59" s="9" t="s">
        <v>203</v>
      </c>
    </row>
    <row r="60" customFormat="false" ht="14.65" hidden="false" customHeight="false" outlineLevel="0" collapsed="false">
      <c r="A60" s="1" t="s">
        <v>204</v>
      </c>
      <c r="B60" s="10" t="s">
        <v>205</v>
      </c>
      <c r="C60" s="10" t="s">
        <v>20</v>
      </c>
      <c r="D60" s="11" t="s">
        <v>21</v>
      </c>
      <c r="E60" s="7" t="n">
        <v>35294</v>
      </c>
      <c r="F60" s="8" t="s">
        <v>26</v>
      </c>
      <c r="G60" s="9" t="s">
        <v>206</v>
      </c>
    </row>
    <row r="61" customFormat="false" ht="14.65" hidden="false" customHeight="false" outlineLevel="0" collapsed="false">
      <c r="A61" s="1" t="s">
        <v>207</v>
      </c>
      <c r="B61" s="10" t="s">
        <v>208</v>
      </c>
      <c r="C61" s="10" t="s">
        <v>209</v>
      </c>
      <c r="D61" s="11" t="s">
        <v>16</v>
      </c>
      <c r="E61" s="7" t="n">
        <v>35508</v>
      </c>
      <c r="F61" s="8" t="s">
        <v>26</v>
      </c>
      <c r="G61" s="9" t="s">
        <v>65</v>
      </c>
    </row>
    <row r="62" customFormat="false" ht="14.65" hidden="false" customHeight="false" outlineLevel="0" collapsed="false">
      <c r="A62" s="1" t="s">
        <v>210</v>
      </c>
      <c r="B62" s="10" t="s">
        <v>211</v>
      </c>
      <c r="C62" s="10" t="s">
        <v>212</v>
      </c>
      <c r="D62" s="11" t="s">
        <v>21</v>
      </c>
      <c r="E62" s="7" t="n">
        <v>35724</v>
      </c>
      <c r="F62" s="8" t="s">
        <v>11</v>
      </c>
      <c r="G62" s="9" t="s">
        <v>65</v>
      </c>
    </row>
    <row r="63" customFormat="false" ht="14.65" hidden="false" customHeight="false" outlineLevel="0" collapsed="false">
      <c r="A63" s="1" t="s">
        <v>213</v>
      </c>
      <c r="B63" s="12" t="s">
        <v>214</v>
      </c>
      <c r="C63" s="12" t="s">
        <v>215</v>
      </c>
      <c r="D63" s="6" t="s">
        <v>10</v>
      </c>
      <c r="E63" s="7" t="n">
        <v>35468</v>
      </c>
      <c r="F63" s="8" t="s">
        <v>11</v>
      </c>
      <c r="G63" s="9" t="s">
        <v>216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landscape" usePrinterDefaults="false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2" activeCellId="0" sqref="A2"/>
    </sheetView>
  </sheetViews>
  <sheetFormatPr defaultRowHeight="12.8"/>
  <cols>
    <col collapsed="false" hidden="false" max="1" min="1" style="0" width="11.5204081632653"/>
    <col collapsed="false" hidden="false" max="2" min="2" style="0" width="55.3112244897959"/>
    <col collapsed="false" hidden="false" max="3" min="3" style="0" width="11.5204081632653"/>
    <col collapsed="false" hidden="false" max="6" min="4" style="1" width="11.5204081632653"/>
    <col collapsed="false" hidden="false" max="1025" min="7" style="0" width="11.5204081632653"/>
  </cols>
  <sheetData>
    <row r="1" customFormat="false" ht="12.8" hidden="false" customHeight="false" outlineLevel="0" collapsed="false">
      <c r="A1" s="13" t="s">
        <v>217</v>
      </c>
      <c r="B1" s="14" t="s">
        <v>218</v>
      </c>
      <c r="C1" s="13" t="s">
        <v>219</v>
      </c>
      <c r="D1" s="13" t="s">
        <v>220</v>
      </c>
      <c r="E1" s="13" t="s">
        <v>221</v>
      </c>
      <c r="F1" s="13" t="s">
        <v>222</v>
      </c>
    </row>
    <row r="2" customFormat="false" ht="12.8" hidden="false" customHeight="false" outlineLevel="0" collapsed="false">
      <c r="A2" s="15" t="s">
        <v>223</v>
      </c>
      <c r="B2" s="16" t="s">
        <v>224</v>
      </c>
      <c r="C2" s="15" t="s">
        <v>225</v>
      </c>
      <c r="D2" s="17" t="n">
        <v>2.5</v>
      </c>
      <c r="E2" s="17" t="s">
        <v>226</v>
      </c>
      <c r="F2" s="17" t="s">
        <v>227</v>
      </c>
    </row>
    <row r="3" customFormat="false" ht="12.8" hidden="false" customHeight="false" outlineLevel="0" collapsed="false">
      <c r="A3" s="15" t="s">
        <v>228</v>
      </c>
      <c r="B3" s="16" t="s">
        <v>229</v>
      </c>
      <c r="C3" s="15" t="s">
        <v>230</v>
      </c>
      <c r="D3" s="17" t="n">
        <v>1.5</v>
      </c>
      <c r="E3" s="17" t="s">
        <v>226</v>
      </c>
      <c r="F3" s="17" t="s">
        <v>227</v>
      </c>
    </row>
    <row r="4" customFormat="false" ht="12.8" hidden="false" customHeight="false" outlineLevel="0" collapsed="false">
      <c r="A4" s="15" t="s">
        <v>231</v>
      </c>
      <c r="B4" s="16" t="s">
        <v>232</v>
      </c>
      <c r="C4" s="15" t="s">
        <v>233</v>
      </c>
      <c r="D4" s="17" t="n">
        <v>1.5</v>
      </c>
      <c r="E4" s="17" t="s">
        <v>226</v>
      </c>
      <c r="F4" s="17" t="s">
        <v>227</v>
      </c>
    </row>
    <row r="5" customFormat="false" ht="12.8" hidden="false" customHeight="false" outlineLevel="0" collapsed="false">
      <c r="A5" s="15" t="s">
        <v>234</v>
      </c>
      <c r="B5" s="16" t="s">
        <v>235</v>
      </c>
      <c r="C5" s="15" t="s">
        <v>236</v>
      </c>
      <c r="D5" s="17" t="n">
        <v>2.5</v>
      </c>
      <c r="E5" s="17" t="s">
        <v>226</v>
      </c>
      <c r="F5" s="17" t="s">
        <v>227</v>
      </c>
    </row>
    <row r="6" customFormat="false" ht="12.8" hidden="false" customHeight="false" outlineLevel="0" collapsed="false">
      <c r="A6" s="15" t="s">
        <v>237</v>
      </c>
      <c r="B6" s="16" t="s">
        <v>238</v>
      </c>
      <c r="C6" s="15" t="s">
        <v>239</v>
      </c>
      <c r="D6" s="17" t="n">
        <v>2.5</v>
      </c>
      <c r="E6" s="17" t="s">
        <v>226</v>
      </c>
      <c r="F6" s="17" t="s">
        <v>227</v>
      </c>
    </row>
    <row r="7" customFormat="false" ht="12.8" hidden="false" customHeight="false" outlineLevel="0" collapsed="false">
      <c r="A7" s="15" t="s">
        <v>240</v>
      </c>
      <c r="B7" s="16" t="s">
        <v>241</v>
      </c>
      <c r="C7" s="15" t="s">
        <v>242</v>
      </c>
      <c r="D7" s="17" t="n">
        <v>1.5</v>
      </c>
      <c r="E7" s="17" t="s">
        <v>226</v>
      </c>
      <c r="F7" s="17" t="s">
        <v>227</v>
      </c>
    </row>
    <row r="8" customFormat="false" ht="12.8" hidden="false" customHeight="false" outlineLevel="0" collapsed="false">
      <c r="A8" s="15" t="s">
        <v>243</v>
      </c>
      <c r="B8" s="16" t="s">
        <v>244</v>
      </c>
      <c r="C8" s="15" t="s">
        <v>245</v>
      </c>
      <c r="D8" s="17" t="n">
        <v>2.5</v>
      </c>
      <c r="E8" s="17" t="s">
        <v>246</v>
      </c>
      <c r="F8" s="17" t="s">
        <v>227</v>
      </c>
    </row>
    <row r="9" customFormat="false" ht="12.8" hidden="false" customHeight="false" outlineLevel="0" collapsed="false">
      <c r="A9" s="15" t="s">
        <v>247</v>
      </c>
      <c r="B9" s="16" t="s">
        <v>248</v>
      </c>
      <c r="C9" s="15" t="s">
        <v>249</v>
      </c>
      <c r="D9" s="17" t="n">
        <v>1.5</v>
      </c>
      <c r="E9" s="17" t="s">
        <v>246</v>
      </c>
      <c r="F9" s="17" t="s">
        <v>227</v>
      </c>
    </row>
    <row r="10" customFormat="false" ht="12.8" hidden="false" customHeight="false" outlineLevel="0" collapsed="false">
      <c r="A10" s="15" t="s">
        <v>250</v>
      </c>
      <c r="B10" s="16" t="s">
        <v>251</v>
      </c>
      <c r="C10" s="15" t="s">
        <v>252</v>
      </c>
      <c r="D10" s="17" t="n">
        <v>1.5</v>
      </c>
      <c r="E10" s="17" t="s">
        <v>246</v>
      </c>
      <c r="F10" s="17" t="s">
        <v>227</v>
      </c>
    </row>
    <row r="11" customFormat="false" ht="12.8" hidden="false" customHeight="false" outlineLevel="0" collapsed="false">
      <c r="A11" s="15" t="s">
        <v>253</v>
      </c>
      <c r="B11" s="16" t="s">
        <v>254</v>
      </c>
      <c r="C11" s="15" t="s">
        <v>255</v>
      </c>
      <c r="D11" s="17" t="n">
        <v>2.5</v>
      </c>
      <c r="E11" s="17" t="s">
        <v>246</v>
      </c>
      <c r="F11" s="17" t="s">
        <v>227</v>
      </c>
    </row>
    <row r="12" customFormat="false" ht="12.8" hidden="false" customHeight="false" outlineLevel="0" collapsed="false">
      <c r="A12" s="15" t="s">
        <v>256</v>
      </c>
      <c r="B12" s="16" t="s">
        <v>257</v>
      </c>
      <c r="C12" s="15" t="s">
        <v>258</v>
      </c>
      <c r="D12" s="17" t="n">
        <v>1.5</v>
      </c>
      <c r="E12" s="17" t="s">
        <v>246</v>
      </c>
      <c r="F12" s="17" t="s">
        <v>227</v>
      </c>
    </row>
    <row r="13" customFormat="false" ht="12.8" hidden="false" customHeight="false" outlineLevel="0" collapsed="false">
      <c r="A13" s="15" t="s">
        <v>259</v>
      </c>
      <c r="B13" s="16" t="s">
        <v>260</v>
      </c>
      <c r="C13" s="15" t="s">
        <v>261</v>
      </c>
      <c r="D13" s="17" t="n">
        <v>2.5</v>
      </c>
      <c r="E13" s="17" t="s">
        <v>246</v>
      </c>
      <c r="F13" s="17" t="s">
        <v>227</v>
      </c>
    </row>
    <row r="14" customFormat="false" ht="12.8" hidden="false" customHeight="false" outlineLevel="0" collapsed="false">
      <c r="A14" s="15" t="s">
        <v>262</v>
      </c>
      <c r="B14" s="16" t="s">
        <v>263</v>
      </c>
      <c r="C14" s="15" t="s">
        <v>264</v>
      </c>
      <c r="D14" s="17" t="n">
        <v>3</v>
      </c>
      <c r="E14" s="17" t="s">
        <v>265</v>
      </c>
      <c r="F14" s="17" t="s">
        <v>227</v>
      </c>
    </row>
    <row r="15" customFormat="false" ht="12.8" hidden="false" customHeight="false" outlineLevel="0" collapsed="false">
      <c r="A15" s="15" t="s">
        <v>266</v>
      </c>
      <c r="B15" s="16" t="s">
        <v>267</v>
      </c>
      <c r="C15" s="15" t="s">
        <v>268</v>
      </c>
      <c r="D15" s="17" t="n">
        <v>2</v>
      </c>
      <c r="E15" s="17" t="s">
        <v>265</v>
      </c>
      <c r="F15" s="17" t="s">
        <v>227</v>
      </c>
    </row>
    <row r="16" customFormat="false" ht="12.8" hidden="false" customHeight="false" outlineLevel="0" collapsed="false">
      <c r="A16" s="15" t="s">
        <v>269</v>
      </c>
      <c r="B16" s="16" t="s">
        <v>270</v>
      </c>
      <c r="C16" s="15" t="s">
        <v>271</v>
      </c>
      <c r="D16" s="17" t="n">
        <v>1</v>
      </c>
      <c r="E16" s="17" t="s">
        <v>265</v>
      </c>
      <c r="F16" s="17" t="s">
        <v>227</v>
      </c>
    </row>
    <row r="17" customFormat="false" ht="12.8" hidden="false" customHeight="false" outlineLevel="0" collapsed="false">
      <c r="A17" s="15"/>
      <c r="B17" s="15"/>
      <c r="C17" s="15"/>
      <c r="D17" s="17"/>
      <c r="E17" s="17"/>
      <c r="F17" s="17"/>
    </row>
    <row r="19" customFormat="false" ht="12.8" hidden="false" customHeight="false" outlineLevel="0" collapsed="false">
      <c r="A19" s="15" t="s">
        <v>226</v>
      </c>
      <c r="B19" s="15" t="s">
        <v>272</v>
      </c>
      <c r="C19" s="0" t="n">
        <f aca="false">SUM(D2:D7)</f>
        <v>12</v>
      </c>
    </row>
    <row r="20" customFormat="false" ht="12.8" hidden="false" customHeight="false" outlineLevel="0" collapsed="false">
      <c r="A20" s="15" t="s">
        <v>246</v>
      </c>
      <c r="B20" s="16" t="s">
        <v>273</v>
      </c>
      <c r="C20" s="0" t="n">
        <f aca="false">SUM(D8:D13)</f>
        <v>12</v>
      </c>
    </row>
    <row r="21" customFormat="false" ht="12.8" hidden="false" customHeight="false" outlineLevel="0" collapsed="false">
      <c r="A21" s="15" t="s">
        <v>265</v>
      </c>
      <c r="B21" s="16" t="s">
        <v>274</v>
      </c>
      <c r="C21" s="0" t="n">
        <f aca="false">SUM(D14:D16)</f>
        <v>6</v>
      </c>
    </row>
    <row r="23" customFormat="false" ht="12.8" hidden="false" customHeight="false" outlineLevel="0" collapsed="false">
      <c r="A23" s="0" t="s">
        <v>275</v>
      </c>
      <c r="B23" s="18" t="s">
        <v>276</v>
      </c>
    </row>
    <row r="24" customFormat="false" ht="12.8" hidden="false" customHeight="false" outlineLevel="0" collapsed="false">
      <c r="A24" s="0" t="s">
        <v>277</v>
      </c>
      <c r="B24" s="18" t="s">
        <v>278</v>
      </c>
    </row>
    <row r="25" customFormat="false" ht="12.8" hidden="false" customHeight="false" outlineLevel="0" collapsed="false">
      <c r="A25" s="0" t="s">
        <v>279</v>
      </c>
      <c r="B25" s="19" t="n">
        <v>42614</v>
      </c>
    </row>
    <row r="26" customFormat="false" ht="12.8" hidden="false" customHeight="false" outlineLevel="0" collapsed="false">
      <c r="A26" s="0" t="s">
        <v>280</v>
      </c>
      <c r="B26" s="18" t="s">
        <v>281</v>
      </c>
    </row>
    <row r="27" customFormat="false" ht="12.8" hidden="false" customHeight="false" outlineLevel="0" collapsed="false">
      <c r="A27" s="0" t="s">
        <v>222</v>
      </c>
      <c r="B27" s="18" t="s">
        <v>227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landscape" usePrinterDefaults="false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74"/>
  <sheetViews>
    <sheetView windowProtection="false" showFormulas="false" showGridLines="true" showRowColHeaders="true" showZeros="true" rightToLeft="false" tabSelected="false" showOutlineSymbols="true" defaultGridColor="true" view="normal" topLeftCell="A52" colorId="64" zoomScale="140" zoomScaleNormal="140" zoomScalePageLayoutView="100" workbookViewId="0">
      <selection pane="topLeft" activeCell="A67" activeCellId="0" sqref="A67"/>
    </sheetView>
  </sheetViews>
  <sheetFormatPr defaultRowHeight="12.8"/>
  <cols>
    <col collapsed="false" hidden="false" max="1" min="1" style="1" width="14.6530612244898"/>
    <col collapsed="false" hidden="false" max="2" min="2" style="20" width="19.8775510204082"/>
    <col collapsed="false" hidden="false" max="3" min="3" style="20" width="11.5663265306122"/>
    <col collapsed="false" hidden="false" max="4" min="4" style="0" width="11.0765306122449"/>
    <col collapsed="false" hidden="false" max="5" min="5" style="17" width="15.3061224489796"/>
    <col collapsed="false" hidden="false" max="6" min="6" style="17" width="8.45918367346939"/>
    <col collapsed="false" hidden="false" max="7" min="7" style="17" width="15.3061224489796"/>
    <col collapsed="false" hidden="false" max="8" min="8" style="17" width="11.2959183673469"/>
    <col collapsed="false" hidden="false" max="9" min="9" style="17" width="9.26020408163265"/>
    <col collapsed="false" hidden="false" max="10" min="10" style="17" width="12.3112244897959"/>
    <col collapsed="false" hidden="false" max="23" min="11" style="17" width="10.2040816326531"/>
    <col collapsed="false" hidden="false" max="24" min="24" style="21" width="10.2040816326531"/>
    <col collapsed="false" hidden="false" max="25" min="25" style="17" width="10.2040816326531"/>
    <col collapsed="false" hidden="false" max="26" min="26" style="0" width="19.8775510204082"/>
    <col collapsed="false" hidden="false" max="1010" min="27" style="0" width="11.5663265306122"/>
    <col collapsed="false" hidden="false" max="1025" min="1011" style="0" width="11.5204081632653"/>
  </cols>
  <sheetData>
    <row r="1" s="26" customFormat="true" ht="28.35" hidden="false" customHeight="true" outlineLevel="0" collapsed="false">
      <c r="A1" s="2" t="str">
        <f aca="false">Liste!A1</f>
        <v>Numéro</v>
      </c>
      <c r="B1" s="22" t="str">
        <f aca="false">Liste!B1</f>
        <v>Nom</v>
      </c>
      <c r="C1" s="22" t="str">
        <f aca="false">Liste!C1</f>
        <v>Prénom</v>
      </c>
      <c r="D1" s="2" t="str">
        <f aca="false">Liste!D1</f>
        <v>Groupe</v>
      </c>
      <c r="E1" s="23" t="s">
        <v>282</v>
      </c>
      <c r="F1" s="23" t="s">
        <v>283</v>
      </c>
      <c r="G1" s="23" t="s">
        <v>284</v>
      </c>
      <c r="H1" s="23" t="s">
        <v>285</v>
      </c>
      <c r="I1" s="23" t="s">
        <v>286</v>
      </c>
      <c r="J1" s="23" t="s">
        <v>287</v>
      </c>
      <c r="K1" s="23" t="s">
        <v>288</v>
      </c>
      <c r="L1" s="23" t="s">
        <v>289</v>
      </c>
      <c r="M1" s="23" t="s">
        <v>290</v>
      </c>
      <c r="N1" s="23" t="s">
        <v>291</v>
      </c>
      <c r="O1" s="23" t="s">
        <v>292</v>
      </c>
      <c r="P1" s="23" t="s">
        <v>293</v>
      </c>
      <c r="Q1" s="23" t="s">
        <v>294</v>
      </c>
      <c r="R1" s="23" t="s">
        <v>295</v>
      </c>
      <c r="S1" s="23" t="s">
        <v>296</v>
      </c>
      <c r="T1" s="23" t="s">
        <v>297</v>
      </c>
      <c r="U1" s="23" t="s">
        <v>298</v>
      </c>
      <c r="V1" s="23" t="s">
        <v>299</v>
      </c>
      <c r="W1" s="23" t="s">
        <v>300</v>
      </c>
      <c r="X1" s="24" t="s">
        <v>301</v>
      </c>
      <c r="Y1" s="25" t="s">
        <v>302</v>
      </c>
      <c r="Z1" s="3" t="s">
        <v>1</v>
      </c>
      <c r="ALQ1" s="27"/>
      <c r="ALR1" s="27"/>
      <c r="ALS1" s="27"/>
      <c r="ALT1" s="27"/>
      <c r="ALU1" s="27"/>
      <c r="ALV1" s="27"/>
      <c r="ALW1" s="27"/>
      <c r="ALX1" s="27"/>
      <c r="ALY1" s="27"/>
      <c r="ALZ1" s="27"/>
      <c r="AMA1" s="27"/>
      <c r="AMB1" s="27"/>
      <c r="AMC1" s="27"/>
      <c r="AMD1" s="27"/>
      <c r="AME1" s="27"/>
      <c r="AMF1" s="27"/>
      <c r="AMG1" s="27"/>
      <c r="AMH1" s="27"/>
      <c r="AMI1" s="27"/>
      <c r="AMJ1" s="27"/>
    </row>
    <row r="2" customFormat="false" ht="15" hidden="false" customHeight="false" outlineLevel="0" collapsed="false">
      <c r="B2" s="28"/>
      <c r="C2" s="28"/>
      <c r="D2" s="4"/>
      <c r="E2" s="29" t="n">
        <f aca="false">SUM(G2:I2)</f>
        <v>30</v>
      </c>
      <c r="F2" s="29"/>
      <c r="G2" s="30" t="n">
        <f aca="false">SUM($J$2:$O$2)</f>
        <v>12</v>
      </c>
      <c r="H2" s="30" t="n">
        <f aca="false">SUM(P2:U2)</f>
        <v>12</v>
      </c>
      <c r="I2" s="30" t="n">
        <f aca="false">SUM(V2:X2)</f>
        <v>6</v>
      </c>
      <c r="J2" s="30" t="n">
        <v>2.5</v>
      </c>
      <c r="K2" s="30" t="n">
        <v>1.5</v>
      </c>
      <c r="L2" s="30" t="n">
        <v>1.5</v>
      </c>
      <c r="M2" s="30" t="n">
        <v>2.5</v>
      </c>
      <c r="N2" s="30" t="n">
        <v>2.5</v>
      </c>
      <c r="O2" s="30" t="n">
        <v>1.5</v>
      </c>
      <c r="P2" s="30" t="n">
        <v>2.5</v>
      </c>
      <c r="Q2" s="30" t="n">
        <v>1.5</v>
      </c>
      <c r="R2" s="30" t="n">
        <v>1.5</v>
      </c>
      <c r="S2" s="30" t="n">
        <v>2.5</v>
      </c>
      <c r="T2" s="30" t="n">
        <v>1.5</v>
      </c>
      <c r="U2" s="31" t="n">
        <v>2.5</v>
      </c>
      <c r="V2" s="31" t="n">
        <v>3</v>
      </c>
      <c r="W2" s="31" t="n">
        <v>2</v>
      </c>
      <c r="X2" s="21" t="n">
        <v>1</v>
      </c>
      <c r="Y2" s="31"/>
      <c r="Z2" s="32"/>
    </row>
    <row r="3" s="35" customFormat="true" ht="13.8" hidden="false" customHeight="false" outlineLevel="0" collapsed="false">
      <c r="A3" s="17" t="str">
        <f aca="false">Liste!A3</f>
        <v>20150926</v>
      </c>
      <c r="B3" s="33" t="str">
        <f aca="false">Liste!B3</f>
        <v>BAUDELET</v>
      </c>
      <c r="C3" s="33" t="str">
        <f aca="false">Liste!C3</f>
        <v>Geoffrey</v>
      </c>
      <c r="D3" s="17" t="str">
        <f aca="false">Liste!D3</f>
        <v>2-B</v>
      </c>
      <c r="E3" s="34" t="n">
        <f aca="false">($G$2*G3+$H$2*H3+$I$2*I3)/$E$2*(1+Y3/200)</f>
        <v>12.685</v>
      </c>
      <c r="F3" s="17" t="n">
        <f aca="false">RANK(E3,$E$3:$E$63)</f>
        <v>14</v>
      </c>
      <c r="G3" s="34" t="n">
        <f aca="false">($J$2*J3+$K$2*K3+$L$2*L3+$M$2*M3+$N$2*N3+$O$2*O3)/$G$2</f>
        <v>11.7083333333333</v>
      </c>
      <c r="H3" s="34" t="n">
        <f aca="false">($P$2*P3+$Q$2*Q3+$R$2*R3+$S$2*S3+$T$2*T3+$U$2*U3)/$H$2</f>
        <v>13.1208333333333</v>
      </c>
      <c r="I3" s="34" t="n">
        <f aca="false">($V$2*V3+$W$2*W3+$X$2*X3)/$I$2</f>
        <v>13.7666666666667</v>
      </c>
      <c r="J3" s="34" t="n">
        <f aca="false">SE3!E3</f>
        <v>11.3</v>
      </c>
      <c r="K3" s="34" t="n">
        <f aca="false">RX2!E3</f>
        <v>13</v>
      </c>
      <c r="L3" s="31" t="n">
        <f aca="false">RANDBETWEEN(30,180)/10</f>
        <v>16.7</v>
      </c>
      <c r="M3" s="31" t="n">
        <f aca="false">RANDBETWEEN(30,180)/10</f>
        <v>5.3</v>
      </c>
      <c r="N3" s="31" t="n">
        <f aca="false">RANDBETWEEN(30,180)/10</f>
        <v>12.9</v>
      </c>
      <c r="O3" s="31" t="n">
        <f aca="false">RANDBETWEEN(30,180)/10</f>
        <v>14.8</v>
      </c>
      <c r="P3" s="31" t="n">
        <f aca="false">RANDBETWEEN(30,180)/10</f>
        <v>12.4</v>
      </c>
      <c r="Q3" s="31" t="n">
        <f aca="false">RANDBETWEEN(50,200)/10</f>
        <v>10.5</v>
      </c>
      <c r="R3" s="31" t="n">
        <f aca="false">RANDBETWEEN(50,200)/10</f>
        <v>18.1</v>
      </c>
      <c r="S3" s="31" t="n">
        <f aca="false">RANDBETWEEN(50,200)/10</f>
        <v>8.4</v>
      </c>
      <c r="T3" s="31" t="n">
        <f aca="false">RANDBETWEEN(50,200)/10</f>
        <v>14.7</v>
      </c>
      <c r="U3" s="31" t="n">
        <f aca="false">RANDBETWEEN(50,200)/10</f>
        <v>16.2</v>
      </c>
      <c r="V3" s="31" t="n">
        <f aca="false">RANDBETWEEN(50,200)/10</f>
        <v>12.1</v>
      </c>
      <c r="W3" s="31" t="n">
        <f aca="false">RANDBETWEEN(50,200)/10</f>
        <v>13.3</v>
      </c>
      <c r="X3" s="31" t="n">
        <f aca="false">RANDBETWEEN(50,200)/10</f>
        <v>19.7</v>
      </c>
      <c r="Y3" s="34"/>
      <c r="Z3" s="5" t="s">
        <v>8</v>
      </c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s="35" customFormat="true" ht="13.8" hidden="false" customHeight="false" outlineLevel="0" collapsed="false">
      <c r="A4" s="17" t="str">
        <f aca="false">Liste!A4</f>
        <v>20150927</v>
      </c>
      <c r="B4" s="33" t="str">
        <f aca="false">Liste!B4</f>
        <v>BIGARD</v>
      </c>
      <c r="C4" s="33" t="str">
        <f aca="false">Liste!C4</f>
        <v>Samuel</v>
      </c>
      <c r="D4" s="17" t="str">
        <f aca="false">Liste!D4</f>
        <v>2-C</v>
      </c>
      <c r="E4" s="34" t="n">
        <f aca="false">($G$2*G4+$H$2*H4+$I$2*I4)/$E$2*(1+Y4/200)</f>
        <v>11.985</v>
      </c>
      <c r="F4" s="17" t="n">
        <f aca="false">RANK(E4,$E$3:$E$63)</f>
        <v>25</v>
      </c>
      <c r="G4" s="34" t="n">
        <f aca="false">($J$2*J4+$K$2*K4+$L$2*L4+$M$2*M4+$N$2*N4+$O$2*O4)/$G$2</f>
        <v>10.9291666666667</v>
      </c>
      <c r="H4" s="34" t="n">
        <f aca="false">($P$2*P4+$Q$2*Q4+$R$2*R4+$S$2*S4+$T$2*T4+$U$2*U4)/$H$2</f>
        <v>12.2916666666667</v>
      </c>
      <c r="I4" s="34" t="n">
        <f aca="false">($V$2*V4+$W$2*W4+$X$2*X4)/$I$2</f>
        <v>13.4833333333333</v>
      </c>
      <c r="J4" s="34" t="n">
        <f aca="false">SE3!E4</f>
        <v>12.3</v>
      </c>
      <c r="K4" s="34" t="n">
        <f aca="false">RX2!E4</f>
        <v>16.4</v>
      </c>
      <c r="L4" s="31" t="n">
        <f aca="false">RANDBETWEEN(30,180)/10</f>
        <v>4.4</v>
      </c>
      <c r="M4" s="31" t="n">
        <f aca="false">RANDBETWEEN(30,180)/10</f>
        <v>16.2</v>
      </c>
      <c r="N4" s="31" t="n">
        <f aca="false">RANDBETWEEN(30,180)/10</f>
        <v>3.2</v>
      </c>
      <c r="O4" s="31" t="n">
        <f aca="false">RANDBETWEEN(30,180)/10</f>
        <v>13.8</v>
      </c>
      <c r="P4" s="31" t="n">
        <f aca="false">RANDBETWEEN(30,180)/10</f>
        <v>14.9</v>
      </c>
      <c r="Q4" s="31" t="n">
        <f aca="false">RANDBETWEEN(50,200)/10</f>
        <v>9.1</v>
      </c>
      <c r="R4" s="31" t="n">
        <f aca="false">RANDBETWEEN(50,200)/10</f>
        <v>11</v>
      </c>
      <c r="S4" s="31" t="n">
        <f aca="false">RANDBETWEEN(50,200)/10</f>
        <v>12.5</v>
      </c>
      <c r="T4" s="31" t="n">
        <f aca="false">RANDBETWEEN(50,200)/10</f>
        <v>5.4</v>
      </c>
      <c r="U4" s="31" t="n">
        <f aca="false">RANDBETWEEN(50,200)/10</f>
        <v>16.3</v>
      </c>
      <c r="V4" s="31" t="n">
        <f aca="false">RANDBETWEEN(50,200)/10</f>
        <v>13.8</v>
      </c>
      <c r="W4" s="31" t="n">
        <f aca="false">RANDBETWEEN(50,200)/10</f>
        <v>11.3</v>
      </c>
      <c r="X4" s="31" t="n">
        <f aca="false">RANDBETWEEN(50,200)/10</f>
        <v>16.9</v>
      </c>
      <c r="Y4" s="34"/>
      <c r="Z4" s="10" t="s">
        <v>14</v>
      </c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s="35" customFormat="true" ht="13.8" hidden="false" customHeight="false" outlineLevel="0" collapsed="false">
      <c r="A5" s="17" t="str">
        <f aca="false">Liste!A5</f>
        <v>20150928</v>
      </c>
      <c r="B5" s="33" t="str">
        <f aca="false">Liste!B5</f>
        <v>BISSON</v>
      </c>
      <c r="C5" s="33" t="str">
        <f aca="false">Liste!C5</f>
        <v>Julien</v>
      </c>
      <c r="D5" s="17" t="str">
        <f aca="false">Liste!D5</f>
        <v>2-A</v>
      </c>
      <c r="E5" s="34" t="n">
        <f aca="false">($G$2*G5+$H$2*H5+$I$2*I5)/$E$2*(1+Y5/200)</f>
        <v>10.0616666666667</v>
      </c>
      <c r="F5" s="17" t="n">
        <f aca="false">RANK(E5,$E$3:$E$63)</f>
        <v>57</v>
      </c>
      <c r="G5" s="34" t="n">
        <f aca="false">($J$2*J5+$K$2*K5+$L$2*L5+$M$2*M5+$N$2*N5+$O$2*O5)/$G$2</f>
        <v>11.6</v>
      </c>
      <c r="H5" s="34" t="n">
        <f aca="false">($P$2*P5+$Q$2*Q5+$R$2*R5+$S$2*S5+$T$2*T5+$U$2*U5)/$H$2</f>
        <v>10.2875</v>
      </c>
      <c r="I5" s="34" t="n">
        <f aca="false">($V$2*V5+$W$2*W5+$X$2*X5)/$I$2</f>
        <v>6.53333333333333</v>
      </c>
      <c r="J5" s="34" t="n">
        <f aca="false">SE3!E5</f>
        <v>17.3</v>
      </c>
      <c r="K5" s="34" t="n">
        <f aca="false">RX2!E5</f>
        <v>15.3</v>
      </c>
      <c r="L5" s="31" t="n">
        <f aca="false">RANDBETWEEN(30,180)/10</f>
        <v>14.8</v>
      </c>
      <c r="M5" s="31" t="n">
        <f aca="false">RANDBETWEEN(30,180)/10</f>
        <v>5.5</v>
      </c>
      <c r="N5" s="31" t="n">
        <f aca="false">RANDBETWEEN(30,180)/10</f>
        <v>6.6</v>
      </c>
      <c r="O5" s="31" t="n">
        <f aca="false">RANDBETWEEN(30,180)/10</f>
        <v>13.7</v>
      </c>
      <c r="P5" s="31" t="n">
        <f aca="false">RANDBETWEEN(30,180)/10</f>
        <v>17.7</v>
      </c>
      <c r="Q5" s="31" t="n">
        <f aca="false">RANDBETWEEN(50,200)/10</f>
        <v>5</v>
      </c>
      <c r="R5" s="31" t="n">
        <f aca="false">RANDBETWEEN(50,200)/10</f>
        <v>7.2</v>
      </c>
      <c r="S5" s="31" t="n">
        <f aca="false">RANDBETWEEN(50,200)/10</f>
        <v>8</v>
      </c>
      <c r="T5" s="31" t="n">
        <f aca="false">RANDBETWEEN(50,200)/10</f>
        <v>18.1</v>
      </c>
      <c r="U5" s="31" t="n">
        <f aca="false">RANDBETWEEN(50,200)/10</f>
        <v>5.5</v>
      </c>
      <c r="V5" s="31" t="n">
        <f aca="false">RANDBETWEEN(50,200)/10</f>
        <v>5.7</v>
      </c>
      <c r="W5" s="31" t="n">
        <f aca="false">RANDBETWEEN(50,200)/10</f>
        <v>7.7</v>
      </c>
      <c r="X5" s="31" t="n">
        <f aca="false">RANDBETWEEN(50,200)/10</f>
        <v>6.7</v>
      </c>
      <c r="Y5" s="34"/>
      <c r="Z5" s="10" t="s">
        <v>19</v>
      </c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s="35" customFormat="true" ht="13.8" hidden="false" customHeight="false" outlineLevel="0" collapsed="false">
      <c r="A6" s="17" t="str">
        <f aca="false">Liste!A6</f>
        <v>20150929</v>
      </c>
      <c r="B6" s="33" t="str">
        <f aca="false">Liste!B6</f>
        <v>BONTE</v>
      </c>
      <c r="C6" s="33" t="str">
        <f aca="false">Liste!C6</f>
        <v>Nicolas</v>
      </c>
      <c r="D6" s="17" t="str">
        <f aca="false">Liste!D6</f>
        <v>2-A</v>
      </c>
      <c r="E6" s="34" t="n">
        <f aca="false">($G$2*G6+$H$2*H6+$I$2*I6)/$E$2*(1+Y6/200)</f>
        <v>11.7866666666667</v>
      </c>
      <c r="F6" s="17" t="n">
        <f aca="false">RANK(E6,$E$3:$E$63)</f>
        <v>31</v>
      </c>
      <c r="G6" s="34" t="n">
        <f aca="false">($J$2*J6+$K$2*K6+$L$2*L6+$M$2*M6+$N$2*N6+$O$2*O6)/$G$2</f>
        <v>7.76666666666667</v>
      </c>
      <c r="H6" s="34" t="n">
        <f aca="false">($P$2*P6+$Q$2*Q6+$R$2*R6+$S$2*S6+$T$2*T6+$U$2*U6)/$H$2</f>
        <v>14.525</v>
      </c>
      <c r="I6" s="34" t="n">
        <f aca="false">($V$2*V6+$W$2*W6+$X$2*X6)/$I$2</f>
        <v>14.35</v>
      </c>
      <c r="J6" s="34" t="n">
        <f aca="false">SE3!E6</f>
        <v>6</v>
      </c>
      <c r="K6" s="34" t="n">
        <f aca="false">RX2!E6</f>
        <v>9.4</v>
      </c>
      <c r="L6" s="31" t="n">
        <f aca="false">RANDBETWEEN(30,180)/10</f>
        <v>11.9</v>
      </c>
      <c r="M6" s="31" t="n">
        <f aca="false">RANDBETWEEN(30,180)/10</f>
        <v>8.9</v>
      </c>
      <c r="N6" s="31" t="n">
        <f aca="false">RANDBETWEEN(30,180)/10</f>
        <v>4.5</v>
      </c>
      <c r="O6" s="31" t="n">
        <f aca="false">RANDBETWEEN(30,180)/10</f>
        <v>8.5</v>
      </c>
      <c r="P6" s="31" t="n">
        <f aca="false">RANDBETWEEN(30,180)/10</f>
        <v>15.8</v>
      </c>
      <c r="Q6" s="31" t="n">
        <f aca="false">RANDBETWEEN(50,200)/10</f>
        <v>11.4</v>
      </c>
      <c r="R6" s="31" t="n">
        <f aca="false">RANDBETWEEN(50,200)/10</f>
        <v>14.3</v>
      </c>
      <c r="S6" s="31" t="n">
        <f aca="false">RANDBETWEEN(50,200)/10</f>
        <v>13.6</v>
      </c>
      <c r="T6" s="31" t="n">
        <f aca="false">RANDBETWEEN(50,200)/10</f>
        <v>9.5</v>
      </c>
      <c r="U6" s="31" t="n">
        <f aca="false">RANDBETWEEN(50,200)/10</f>
        <v>19.2</v>
      </c>
      <c r="V6" s="31" t="n">
        <f aca="false">RANDBETWEEN(50,200)/10</f>
        <v>16.2</v>
      </c>
      <c r="W6" s="31" t="n">
        <f aca="false">RANDBETWEEN(50,200)/10</f>
        <v>13.1</v>
      </c>
      <c r="X6" s="31" t="n">
        <f aca="false">RANDBETWEEN(50,200)/10</f>
        <v>11.3</v>
      </c>
      <c r="Y6" s="34"/>
      <c r="Z6" s="10" t="s">
        <v>24</v>
      </c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s="35" customFormat="true" ht="13.8" hidden="false" customHeight="false" outlineLevel="0" collapsed="false">
      <c r="A7" s="17" t="str">
        <f aca="false">Liste!A7</f>
        <v>20150930</v>
      </c>
      <c r="B7" s="33" t="str">
        <f aca="false">Liste!B7</f>
        <v>BOULNOIS</v>
      </c>
      <c r="C7" s="33" t="str">
        <f aca="false">Liste!C7</f>
        <v>Louis</v>
      </c>
      <c r="D7" s="17" t="str">
        <f aca="false">Liste!D7</f>
        <v>2-A</v>
      </c>
      <c r="E7" s="34" t="n">
        <f aca="false">($G$2*G7+$H$2*H7+$I$2*I7)/$E$2*(1+Y7/200)</f>
        <v>11.8507</v>
      </c>
      <c r="F7" s="17" t="n">
        <f aca="false">RANK(E7,$E$3:$E$63)</f>
        <v>28</v>
      </c>
      <c r="G7" s="34" t="n">
        <f aca="false">($J$2*J7+$K$2*K7+$L$2*L7+$M$2*M7+$N$2*N7+$O$2*O7)/$G$2</f>
        <v>10.9833333333333</v>
      </c>
      <c r="H7" s="34" t="n">
        <f aca="false">($P$2*P7+$Q$2*Q7+$R$2*R7+$S$2*S7+$T$2*T7+$U$2*U7)/$H$2</f>
        <v>11.6291666666667</v>
      </c>
      <c r="I7" s="34" t="n">
        <f aca="false">($V$2*V7+$W$2*W7+$X$2*X7)/$I$2</f>
        <v>12.8666666666667</v>
      </c>
      <c r="J7" s="34" t="n">
        <f aca="false">SE3!E7</f>
        <v>12.2</v>
      </c>
      <c r="K7" s="34" t="n">
        <f aca="false">RX2!E7</f>
        <v>19.9</v>
      </c>
      <c r="L7" s="31" t="n">
        <f aca="false">RANDBETWEEN(30,180)/10</f>
        <v>7.3</v>
      </c>
      <c r="M7" s="31" t="n">
        <f aca="false">RANDBETWEEN(30,180)/10</f>
        <v>3.7</v>
      </c>
      <c r="N7" s="31" t="n">
        <f aca="false">RANDBETWEEN(30,180)/10</f>
        <v>15.4</v>
      </c>
      <c r="O7" s="31" t="n">
        <f aca="false">RANDBETWEEN(30,180)/10</f>
        <v>8.5</v>
      </c>
      <c r="P7" s="31" t="n">
        <f aca="false">RANDBETWEEN(30,180)/10</f>
        <v>18</v>
      </c>
      <c r="Q7" s="31" t="n">
        <f aca="false">RANDBETWEEN(50,200)/10</f>
        <v>9.3</v>
      </c>
      <c r="R7" s="31" t="n">
        <f aca="false">RANDBETWEEN(50,200)/10</f>
        <v>19.9</v>
      </c>
      <c r="S7" s="31" t="n">
        <f aca="false">RANDBETWEEN(50,200)/10</f>
        <v>9.1</v>
      </c>
      <c r="T7" s="31" t="n">
        <f aca="false">RANDBETWEEN(50,200)/10</f>
        <v>8</v>
      </c>
      <c r="U7" s="31" t="n">
        <f aca="false">RANDBETWEEN(50,200)/10</f>
        <v>6.4</v>
      </c>
      <c r="V7" s="31" t="n">
        <f aca="false">RANDBETWEEN(50,200)/10</f>
        <v>9.6</v>
      </c>
      <c r="W7" s="31" t="n">
        <f aca="false">RANDBETWEEN(50,200)/10</f>
        <v>18.1</v>
      </c>
      <c r="X7" s="31" t="n">
        <f aca="false">RANDBETWEEN(50,200)/10</f>
        <v>12.2</v>
      </c>
      <c r="Y7" s="34" t="n">
        <v>4</v>
      </c>
      <c r="Z7" s="10" t="s">
        <v>29</v>
      </c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s="35" customFormat="true" ht="13.8" hidden="false" customHeight="false" outlineLevel="0" collapsed="false">
      <c r="A8" s="17" t="str">
        <f aca="false">Liste!A8</f>
        <v>20150931</v>
      </c>
      <c r="B8" s="33" t="str">
        <f aca="false">Liste!B8</f>
        <v>CHATELET</v>
      </c>
      <c r="C8" s="33" t="str">
        <f aca="false">Liste!C8</f>
        <v>Hadrien</v>
      </c>
      <c r="D8" s="17" t="str">
        <f aca="false">Liste!D8</f>
        <v>2-B</v>
      </c>
      <c r="E8" s="34" t="n">
        <f aca="false">($G$2*G8+$H$2*H8+$I$2*I8)/$E$2*(1+Y8/200)</f>
        <v>12.2466666666667</v>
      </c>
      <c r="F8" s="17" t="n">
        <f aca="false">RANK(E8,$E$3:$E$63)</f>
        <v>21</v>
      </c>
      <c r="G8" s="34" t="n">
        <f aca="false">($J$2*J8+$K$2*K8+$L$2*L8+$M$2*M8+$N$2*N8+$O$2*O8)/$G$2</f>
        <v>11.7166666666667</v>
      </c>
      <c r="H8" s="34" t="n">
        <f aca="false">($P$2*P8+$Q$2*Q8+$R$2*R8+$S$2*S8+$T$2*T8+$U$2*U8)/$H$2</f>
        <v>13.1166666666667</v>
      </c>
      <c r="I8" s="34" t="n">
        <f aca="false">($V$2*V8+$W$2*W8+$X$2*X8)/$I$2</f>
        <v>11.5666666666667</v>
      </c>
      <c r="J8" s="34" t="n">
        <f aca="false">SE3!E8</f>
        <v>16</v>
      </c>
      <c r="K8" s="34" t="n">
        <f aca="false">RX2!E8</f>
        <v>19</v>
      </c>
      <c r="L8" s="31" t="n">
        <f aca="false">RANDBETWEEN(30,180)/10</f>
        <v>11.9</v>
      </c>
      <c r="M8" s="31" t="n">
        <f aca="false">RANDBETWEEN(30,180)/10</f>
        <v>6.9</v>
      </c>
      <c r="N8" s="31" t="n">
        <f aca="false">RANDBETWEEN(30,180)/10</f>
        <v>4.9</v>
      </c>
      <c r="O8" s="31" t="n">
        <f aca="false">RANDBETWEEN(30,180)/10</f>
        <v>16.5</v>
      </c>
      <c r="P8" s="31" t="n">
        <f aca="false">RANDBETWEEN(30,180)/10</f>
        <v>6.7</v>
      </c>
      <c r="Q8" s="31" t="n">
        <f aca="false">RANDBETWEEN(50,200)/10</f>
        <v>14.2</v>
      </c>
      <c r="R8" s="31" t="n">
        <f aca="false">RANDBETWEEN(50,200)/10</f>
        <v>17.2</v>
      </c>
      <c r="S8" s="31" t="n">
        <f aca="false">RANDBETWEEN(50,200)/10</f>
        <v>9.9</v>
      </c>
      <c r="T8" s="31" t="n">
        <f aca="false">RANDBETWEEN(50,200)/10</f>
        <v>14.2</v>
      </c>
      <c r="U8" s="31" t="n">
        <f aca="false">RANDBETWEEN(50,200)/10</f>
        <v>19</v>
      </c>
      <c r="V8" s="31" t="n">
        <f aca="false">RANDBETWEEN(50,200)/10</f>
        <v>9.7</v>
      </c>
      <c r="W8" s="31" t="n">
        <f aca="false">RANDBETWEEN(50,200)/10</f>
        <v>11.9</v>
      </c>
      <c r="X8" s="31" t="n">
        <f aca="false">RANDBETWEEN(50,200)/10</f>
        <v>16.5</v>
      </c>
      <c r="Y8" s="34"/>
      <c r="Z8" s="5" t="s">
        <v>33</v>
      </c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s="35" customFormat="true" ht="13.8" hidden="false" customHeight="false" outlineLevel="0" collapsed="false">
      <c r="A9" s="17" t="str">
        <f aca="false">Liste!A9</f>
        <v>20150932</v>
      </c>
      <c r="B9" s="33" t="str">
        <f aca="false">Liste!B9</f>
        <v>CLEROT</v>
      </c>
      <c r="C9" s="33" t="str">
        <f aca="false">Liste!C9</f>
        <v>Jérémy</v>
      </c>
      <c r="D9" s="17" t="str">
        <f aca="false">Liste!D9</f>
        <v>2-C</v>
      </c>
      <c r="E9" s="34" t="n">
        <f aca="false">($G$2*G9+$H$2*H9+$I$2*I9)/$E$2*(1+Y9/200)</f>
        <v>10.415</v>
      </c>
      <c r="F9" s="17" t="n">
        <f aca="false">RANK(E9,$E$3:$E$63)</f>
        <v>55</v>
      </c>
      <c r="G9" s="34" t="n">
        <f aca="false">($J$2*J9+$K$2*K9+$L$2*L9+$M$2*M9+$N$2*N9+$O$2*O9)/$G$2</f>
        <v>10.2708333333333</v>
      </c>
      <c r="H9" s="34" t="n">
        <f aca="false">($P$2*P9+$Q$2*Q9+$R$2*R9+$S$2*S9+$T$2*T9+$U$2*U9)/$H$2</f>
        <v>11.2666666666667</v>
      </c>
      <c r="I9" s="34" t="n">
        <f aca="false">($V$2*V9+$W$2*W9+$X$2*X9)/$I$2</f>
        <v>9</v>
      </c>
      <c r="J9" s="34" t="n">
        <f aca="false">SE3!E9</f>
        <v>8.4</v>
      </c>
      <c r="K9" s="34" t="n">
        <f aca="false">RX2!E9</f>
        <v>5</v>
      </c>
      <c r="L9" s="31" t="n">
        <f aca="false">RANDBETWEEN(30,180)/10</f>
        <v>13.5</v>
      </c>
      <c r="M9" s="31" t="n">
        <f aca="false">RANDBETWEEN(30,180)/10</f>
        <v>8.4</v>
      </c>
      <c r="N9" s="31" t="n">
        <f aca="false">RANDBETWEEN(30,180)/10</f>
        <v>14.2</v>
      </c>
      <c r="O9" s="31" t="n">
        <f aca="false">RANDBETWEEN(30,180)/10</f>
        <v>12</v>
      </c>
      <c r="P9" s="31" t="n">
        <f aca="false">RANDBETWEEN(30,180)/10</f>
        <v>8.3</v>
      </c>
      <c r="Q9" s="31" t="n">
        <f aca="false">RANDBETWEEN(50,200)/10</f>
        <v>8.7</v>
      </c>
      <c r="R9" s="31" t="n">
        <f aca="false">RANDBETWEEN(50,200)/10</f>
        <v>16</v>
      </c>
      <c r="S9" s="31" t="n">
        <f aca="false">RANDBETWEEN(50,200)/10</f>
        <v>13.5</v>
      </c>
      <c r="T9" s="31" t="n">
        <f aca="false">RANDBETWEEN(50,200)/10</f>
        <v>10.1</v>
      </c>
      <c r="U9" s="31" t="n">
        <f aca="false">RANDBETWEEN(50,200)/10</f>
        <v>11.4</v>
      </c>
      <c r="V9" s="31" t="n">
        <f aca="false">RANDBETWEEN(50,200)/10</f>
        <v>5</v>
      </c>
      <c r="W9" s="31" t="n">
        <f aca="false">RANDBETWEEN(50,200)/10</f>
        <v>13</v>
      </c>
      <c r="X9" s="31" t="n">
        <f aca="false">RANDBETWEEN(50,200)/10</f>
        <v>13</v>
      </c>
      <c r="Y9" s="34"/>
      <c r="Z9" s="10" t="s">
        <v>37</v>
      </c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s="35" customFormat="true" ht="13.8" hidden="false" customHeight="false" outlineLevel="0" collapsed="false">
      <c r="A10" s="17" t="str">
        <f aca="false">Liste!A10</f>
        <v>20150933</v>
      </c>
      <c r="B10" s="33" t="str">
        <f aca="false">Liste!B10</f>
        <v>CORNU</v>
      </c>
      <c r="C10" s="33" t="str">
        <f aca="false">Liste!C10</f>
        <v>Bastien</v>
      </c>
      <c r="D10" s="17" t="str">
        <f aca="false">Liste!D10</f>
        <v>2-C</v>
      </c>
      <c r="E10" s="34" t="n">
        <f aca="false">($G$2*G10+$H$2*H10+$I$2*I10)/$E$2*(1+Y10/200)</f>
        <v>9.11166666666667</v>
      </c>
      <c r="F10" s="17" t="n">
        <f aca="false">RANK(E10,$E$3:$E$63)</f>
        <v>60</v>
      </c>
      <c r="G10" s="34" t="n">
        <f aca="false">($J$2*J10+$K$2*K10+$L$2*L10+$M$2*M10+$N$2*N10+$O$2*O10)/$G$2</f>
        <v>7.44166666666667</v>
      </c>
      <c r="H10" s="34" t="n">
        <f aca="false">($P$2*P10+$Q$2*Q10+$R$2*R10+$S$2*S10+$T$2*T10+$U$2*U10)/$H$2</f>
        <v>9.72083333333333</v>
      </c>
      <c r="I10" s="34" t="n">
        <f aca="false">($V$2*V10+$W$2*W10+$X$2*X10)/$I$2</f>
        <v>11.2333333333333</v>
      </c>
      <c r="J10" s="34" t="n">
        <f aca="false">SE3!E10</f>
        <v>5.5</v>
      </c>
      <c r="K10" s="34" t="n">
        <f aca="false">RX2!E10</f>
        <v>14.1</v>
      </c>
      <c r="L10" s="31" t="n">
        <f aca="false">RANDBETWEEN(30,180)/10</f>
        <v>10.1</v>
      </c>
      <c r="M10" s="31" t="n">
        <f aca="false">RANDBETWEEN(30,180)/10</f>
        <v>3.3</v>
      </c>
      <c r="N10" s="31" t="n">
        <f aca="false">RANDBETWEEN(30,180)/10</f>
        <v>9.4</v>
      </c>
      <c r="O10" s="31" t="n">
        <f aca="false">RANDBETWEEN(30,180)/10</f>
        <v>5</v>
      </c>
      <c r="P10" s="31" t="n">
        <f aca="false">RANDBETWEEN(30,180)/10</f>
        <v>5.7</v>
      </c>
      <c r="Q10" s="31" t="n">
        <f aca="false">RANDBETWEEN(50,200)/10</f>
        <v>10.5</v>
      </c>
      <c r="R10" s="31" t="n">
        <f aca="false">RANDBETWEEN(50,200)/10</f>
        <v>18.3</v>
      </c>
      <c r="S10" s="31" t="n">
        <f aca="false">RANDBETWEEN(50,200)/10</f>
        <v>8</v>
      </c>
      <c r="T10" s="31" t="n">
        <f aca="false">RANDBETWEEN(50,200)/10</f>
        <v>11.3</v>
      </c>
      <c r="U10" s="31" t="n">
        <f aca="false">RANDBETWEEN(50,200)/10</f>
        <v>8.9</v>
      </c>
      <c r="V10" s="31" t="n">
        <f aca="false">RANDBETWEEN(50,200)/10</f>
        <v>12.2</v>
      </c>
      <c r="W10" s="31" t="n">
        <f aca="false">RANDBETWEEN(50,200)/10</f>
        <v>11</v>
      </c>
      <c r="X10" s="31" t="n">
        <f aca="false">RANDBETWEEN(50,200)/10</f>
        <v>8.8</v>
      </c>
      <c r="Y10" s="34"/>
      <c r="Z10" s="10" t="s">
        <v>41</v>
      </c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s="35" customFormat="true" ht="13.8" hidden="false" customHeight="false" outlineLevel="0" collapsed="false">
      <c r="A11" s="17" t="str">
        <f aca="false">Liste!A11</f>
        <v>20150934</v>
      </c>
      <c r="B11" s="33" t="str">
        <f aca="false">Liste!B11</f>
        <v>DACHY</v>
      </c>
      <c r="C11" s="33" t="str">
        <f aca="false">Liste!C11</f>
        <v>Remy</v>
      </c>
      <c r="D11" s="17" t="str">
        <f aca="false">Liste!D11</f>
        <v>2-B</v>
      </c>
      <c r="E11" s="34" t="n">
        <f aca="false">($G$2*G11+$H$2*H11+$I$2*I11)/$E$2*(1+Y11/200)</f>
        <v>10.5583333333333</v>
      </c>
      <c r="F11" s="17" t="n">
        <f aca="false">RANK(E11,$E$3:$E$63)</f>
        <v>52</v>
      </c>
      <c r="G11" s="34" t="n">
        <f aca="false">($J$2*J11+$K$2*K11+$L$2*L11+$M$2*M11+$N$2*N11+$O$2*O11)/$G$2</f>
        <v>8.75833333333333</v>
      </c>
      <c r="H11" s="34" t="n">
        <f aca="false">($P$2*P11+$Q$2*Q11+$R$2*R11+$S$2*S11+$T$2*T11+$U$2*U11)/$H$2</f>
        <v>12.2208333333333</v>
      </c>
      <c r="I11" s="34" t="n">
        <f aca="false">($V$2*V11+$W$2*W11+$X$2*X11)/$I$2</f>
        <v>10.8333333333333</v>
      </c>
      <c r="J11" s="34" t="n">
        <f aca="false">SE3!E11</f>
        <v>7.5</v>
      </c>
      <c r="K11" s="34" t="n">
        <f aca="false">RX2!E11</f>
        <v>14.7</v>
      </c>
      <c r="L11" s="31" t="n">
        <f aca="false">RANDBETWEEN(30,180)/10</f>
        <v>7.7</v>
      </c>
      <c r="M11" s="31" t="n">
        <f aca="false">RANDBETWEEN(30,180)/10</f>
        <v>5.5</v>
      </c>
      <c r="N11" s="31" t="n">
        <f aca="false">RANDBETWEEN(30,180)/10</f>
        <v>4.8</v>
      </c>
      <c r="O11" s="31" t="n">
        <f aca="false">RANDBETWEEN(30,180)/10</f>
        <v>18</v>
      </c>
      <c r="P11" s="31" t="n">
        <f aca="false">RANDBETWEEN(30,180)/10</f>
        <v>13.5</v>
      </c>
      <c r="Q11" s="31" t="n">
        <f aca="false">RANDBETWEEN(50,200)/10</f>
        <v>6.5</v>
      </c>
      <c r="R11" s="31" t="n">
        <f aca="false">RANDBETWEEN(50,200)/10</f>
        <v>16.8</v>
      </c>
      <c r="S11" s="31" t="n">
        <f aca="false">RANDBETWEEN(50,200)/10</f>
        <v>7.8</v>
      </c>
      <c r="T11" s="31" t="n">
        <f aca="false">RANDBETWEEN(50,200)/10</f>
        <v>16.8</v>
      </c>
      <c r="U11" s="31" t="n">
        <f aca="false">RANDBETWEEN(50,200)/10</f>
        <v>13.3</v>
      </c>
      <c r="V11" s="31" t="n">
        <f aca="false">RANDBETWEEN(50,200)/10</f>
        <v>9.9</v>
      </c>
      <c r="W11" s="31" t="n">
        <f aca="false">RANDBETWEEN(50,200)/10</f>
        <v>8.8</v>
      </c>
      <c r="X11" s="31" t="n">
        <f aca="false">RANDBETWEEN(50,200)/10</f>
        <v>17.7</v>
      </c>
      <c r="Y11" s="34"/>
      <c r="Z11" s="12" t="s">
        <v>46</v>
      </c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s="35" customFormat="true" ht="13.8" hidden="false" customHeight="false" outlineLevel="0" collapsed="false">
      <c r="A12" s="17" t="str">
        <f aca="false">Liste!A12</f>
        <v>20150935</v>
      </c>
      <c r="B12" s="33" t="str">
        <f aca="false">Liste!B12</f>
        <v>DANGLETERRE</v>
      </c>
      <c r="C12" s="33" t="str">
        <f aca="false">Liste!C12</f>
        <v>Thomas</v>
      </c>
      <c r="D12" s="17" t="str">
        <f aca="false">Liste!D12</f>
        <v>2-C</v>
      </c>
      <c r="E12" s="34" t="n">
        <f aca="false">($G$2*G12+$H$2*H12+$I$2*I12)/$E$2*(1+Y12/200)</f>
        <v>11.06</v>
      </c>
      <c r="F12" s="17" t="n">
        <f aca="false">RANK(E12,$E$3:$E$63)</f>
        <v>42</v>
      </c>
      <c r="G12" s="34" t="n">
        <f aca="false">($J$2*J12+$K$2*K12+$L$2*L12+$M$2*M12+$N$2*N12+$O$2*O12)/$G$2</f>
        <v>12.3291666666667</v>
      </c>
      <c r="H12" s="34" t="n">
        <f aca="false">($P$2*P12+$Q$2*Q12+$R$2*R12+$S$2*S12+$T$2*T12+$U$2*U12)/$H$2</f>
        <v>9.20416666666667</v>
      </c>
      <c r="I12" s="34" t="n">
        <f aca="false">($V$2*V12+$W$2*W12+$X$2*X12)/$I$2</f>
        <v>12.2333333333333</v>
      </c>
      <c r="J12" s="34" t="n">
        <f aca="false">SE3!E12</f>
        <v>15.9</v>
      </c>
      <c r="K12" s="34" t="n">
        <f aca="false">RX2!E12</f>
        <v>19.3</v>
      </c>
      <c r="L12" s="31" t="n">
        <f aca="false">RANDBETWEEN(30,180)/10</f>
        <v>17.8</v>
      </c>
      <c r="M12" s="31" t="n">
        <f aca="false">RANDBETWEEN(30,180)/10</f>
        <v>13.8</v>
      </c>
      <c r="N12" s="31" t="n">
        <f aca="false">RANDBETWEEN(30,180)/10</f>
        <v>5.3</v>
      </c>
      <c r="O12" s="31" t="n">
        <f aca="false">RANDBETWEEN(30,180)/10</f>
        <v>3.2</v>
      </c>
      <c r="P12" s="31" t="n">
        <f aca="false">RANDBETWEEN(30,180)/10</f>
        <v>15.9</v>
      </c>
      <c r="Q12" s="31" t="n">
        <f aca="false">RANDBETWEEN(50,200)/10</f>
        <v>13.8</v>
      </c>
      <c r="R12" s="31" t="n">
        <f aca="false">RANDBETWEEN(50,200)/10</f>
        <v>8.4</v>
      </c>
      <c r="S12" s="31" t="n">
        <f aca="false">RANDBETWEEN(50,200)/10</f>
        <v>5.1</v>
      </c>
      <c r="T12" s="31" t="n">
        <f aca="false">RANDBETWEEN(50,200)/10</f>
        <v>8.1</v>
      </c>
      <c r="U12" s="31" t="n">
        <f aca="false">RANDBETWEEN(50,200)/10</f>
        <v>5</v>
      </c>
      <c r="V12" s="31" t="n">
        <f aca="false">RANDBETWEEN(50,200)/10</f>
        <v>9.9</v>
      </c>
      <c r="W12" s="31" t="n">
        <f aca="false">RANDBETWEEN(50,200)/10</f>
        <v>18</v>
      </c>
      <c r="X12" s="31" t="n">
        <f aca="false">RANDBETWEEN(50,200)/10</f>
        <v>7.7</v>
      </c>
      <c r="Y12" s="34"/>
      <c r="Z12" s="10" t="s">
        <v>49</v>
      </c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s="35" customFormat="true" ht="13.8" hidden="false" customHeight="false" outlineLevel="0" collapsed="false">
      <c r="A13" s="17" t="str">
        <f aca="false">Liste!A13</f>
        <v>20150936</v>
      </c>
      <c r="B13" s="33" t="str">
        <f aca="false">Liste!B13</f>
        <v>DEBACKER</v>
      </c>
      <c r="C13" s="33" t="str">
        <f aca="false">Liste!C13</f>
        <v>Thomas</v>
      </c>
      <c r="D13" s="17" t="str">
        <f aca="false">Liste!D13</f>
        <v>2-C</v>
      </c>
      <c r="E13" s="34" t="n">
        <f aca="false">($G$2*G13+$H$2*H13+$I$2*I13)/$E$2*(1+Y13/200)</f>
        <v>10.8683333333333</v>
      </c>
      <c r="F13" s="17" t="n">
        <f aca="false">RANK(E13,$E$3:$E$63)</f>
        <v>46</v>
      </c>
      <c r="G13" s="34" t="n">
        <f aca="false">($J$2*J13+$K$2*K13+$L$2*L13+$M$2*M13+$N$2*N13+$O$2*O13)/$G$2</f>
        <v>11.5833333333333</v>
      </c>
      <c r="H13" s="34" t="n">
        <f aca="false">($P$2*P13+$Q$2*Q13+$R$2*R13+$S$2*S13+$T$2*T13+$U$2*U13)/$H$2</f>
        <v>10.3458333333333</v>
      </c>
      <c r="I13" s="34" t="n">
        <f aca="false">($V$2*V13+$W$2*W13+$X$2*X13)/$I$2</f>
        <v>10.4833333333333</v>
      </c>
      <c r="J13" s="34" t="n">
        <f aca="false">SE3!E13</f>
        <v>10.3</v>
      </c>
      <c r="K13" s="34" t="n">
        <f aca="false">RX2!E13</f>
        <v>6.3</v>
      </c>
      <c r="L13" s="31" t="n">
        <f aca="false">RANDBETWEEN(30,180)/10</f>
        <v>13.8</v>
      </c>
      <c r="M13" s="31" t="n">
        <f aca="false">RANDBETWEEN(30,180)/10</f>
        <v>6.5</v>
      </c>
      <c r="N13" s="31" t="n">
        <f aca="false">RANDBETWEEN(30,180)/10</f>
        <v>16.3</v>
      </c>
      <c r="O13" s="31" t="n">
        <f aca="false">RANDBETWEEN(30,180)/10</f>
        <v>17.4</v>
      </c>
      <c r="P13" s="31" t="n">
        <f aca="false">RANDBETWEEN(30,180)/10</f>
        <v>4.8</v>
      </c>
      <c r="Q13" s="31" t="n">
        <f aca="false">RANDBETWEEN(50,200)/10</f>
        <v>6.3</v>
      </c>
      <c r="R13" s="31" t="n">
        <f aca="false">RANDBETWEEN(50,200)/10</f>
        <v>19.6</v>
      </c>
      <c r="S13" s="31" t="n">
        <f aca="false">RANDBETWEEN(50,200)/10</f>
        <v>15.8</v>
      </c>
      <c r="T13" s="31" t="n">
        <f aca="false">RANDBETWEEN(50,200)/10</f>
        <v>8.2</v>
      </c>
      <c r="U13" s="31" t="n">
        <f aca="false">RANDBETWEEN(50,200)/10</f>
        <v>8.6</v>
      </c>
      <c r="V13" s="31" t="n">
        <f aca="false">RANDBETWEEN(50,200)/10</f>
        <v>5.1</v>
      </c>
      <c r="W13" s="31" t="n">
        <f aca="false">RANDBETWEEN(50,200)/10</f>
        <v>17.6</v>
      </c>
      <c r="X13" s="31" t="n">
        <f aca="false">RANDBETWEEN(50,200)/10</f>
        <v>12.4</v>
      </c>
      <c r="Y13" s="34"/>
      <c r="Z13" s="10" t="s">
        <v>53</v>
      </c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4" s="35" customFormat="true" ht="13.8" hidden="false" customHeight="false" outlineLevel="0" collapsed="false">
      <c r="A14" s="17" t="str">
        <f aca="false">Liste!A14</f>
        <v>20150937</v>
      </c>
      <c r="B14" s="33" t="str">
        <f aca="false">Liste!B14</f>
        <v>DELBREUVE</v>
      </c>
      <c r="C14" s="33" t="str">
        <f aca="false">Liste!C14</f>
        <v>Benjamin</v>
      </c>
      <c r="D14" s="17" t="str">
        <f aca="false">Liste!D14</f>
        <v>2-C</v>
      </c>
      <c r="E14" s="34" t="n">
        <f aca="false">($G$2*G14+$H$2*H14+$I$2*I14)/$E$2*(1+Y14/200)</f>
        <v>11.8166666666667</v>
      </c>
      <c r="F14" s="17" t="n">
        <f aca="false">RANK(E14,$E$3:$E$63)</f>
        <v>30</v>
      </c>
      <c r="G14" s="34" t="n">
        <f aca="false">($J$2*J14+$K$2*K14+$L$2*L14+$M$2*M14+$N$2*N14+$O$2*O14)/$G$2</f>
        <v>12.75</v>
      </c>
      <c r="H14" s="34" t="n">
        <f aca="false">($P$2*P14+$Q$2*Q14+$R$2*R14+$S$2*S14+$T$2*T14+$U$2*U14)/$H$2</f>
        <v>9.98333333333333</v>
      </c>
      <c r="I14" s="34" t="n">
        <f aca="false">($V$2*V14+$W$2*W14+$X$2*X14)/$I$2</f>
        <v>13.6166666666667</v>
      </c>
      <c r="J14" s="34" t="n">
        <f aca="false">SE3!E14</f>
        <v>12</v>
      </c>
      <c r="K14" s="34" t="n">
        <f aca="false">RX2!E14</f>
        <v>16.4</v>
      </c>
      <c r="L14" s="31" t="n">
        <f aca="false">RANDBETWEEN(30,180)/10</f>
        <v>5.8</v>
      </c>
      <c r="M14" s="31" t="n">
        <f aca="false">RANDBETWEEN(30,180)/10</f>
        <v>9.8</v>
      </c>
      <c r="N14" s="31" t="n">
        <f aca="false">RANDBETWEEN(30,180)/10</f>
        <v>17.2</v>
      </c>
      <c r="O14" s="31" t="n">
        <f aca="false">RANDBETWEEN(30,180)/10</f>
        <v>14.8</v>
      </c>
      <c r="P14" s="31" t="n">
        <f aca="false">RANDBETWEEN(30,180)/10</f>
        <v>8.8</v>
      </c>
      <c r="Q14" s="31" t="n">
        <f aca="false">RANDBETWEEN(50,200)/10</f>
        <v>19.5</v>
      </c>
      <c r="R14" s="31" t="n">
        <f aca="false">RANDBETWEEN(50,200)/10</f>
        <v>7</v>
      </c>
      <c r="S14" s="31" t="n">
        <f aca="false">RANDBETWEEN(50,200)/10</f>
        <v>6.6</v>
      </c>
      <c r="T14" s="31" t="n">
        <f aca="false">RANDBETWEEN(50,200)/10</f>
        <v>18.7</v>
      </c>
      <c r="U14" s="31" t="n">
        <f aca="false">RANDBETWEEN(50,200)/10</f>
        <v>5.4</v>
      </c>
      <c r="V14" s="31" t="n">
        <f aca="false">RANDBETWEEN(50,200)/10</f>
        <v>9.1</v>
      </c>
      <c r="W14" s="31" t="n">
        <f aca="false">RANDBETWEEN(50,200)/10</f>
        <v>19.5</v>
      </c>
      <c r="X14" s="31" t="n">
        <f aca="false">RANDBETWEEN(50,200)/10</f>
        <v>15.4</v>
      </c>
      <c r="Y14" s="34"/>
      <c r="Z14" s="10" t="s">
        <v>56</v>
      </c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  <c r="AMI14" s="0"/>
      <c r="AMJ14" s="0"/>
    </row>
    <row r="15" s="35" customFormat="true" ht="13.8" hidden="false" customHeight="false" outlineLevel="0" collapsed="false">
      <c r="A15" s="17" t="str">
        <f aca="false">Liste!A15</f>
        <v>20150938</v>
      </c>
      <c r="B15" s="33" t="str">
        <f aca="false">Liste!B15</f>
        <v>DEROSNE</v>
      </c>
      <c r="C15" s="33" t="str">
        <f aca="false">Liste!C15</f>
        <v>Florentin</v>
      </c>
      <c r="D15" s="17" t="str">
        <f aca="false">Liste!D15</f>
        <v>2-B</v>
      </c>
      <c r="E15" s="34" t="n">
        <f aca="false">($G$2*G15+$H$2*H15+$I$2*I15)/$E$2*(1+Y15/200)</f>
        <v>11.6733333333333</v>
      </c>
      <c r="F15" s="17" t="n">
        <f aca="false">RANK(E15,$E$3:$E$63)</f>
        <v>34</v>
      </c>
      <c r="G15" s="34" t="n">
        <f aca="false">($J$2*J15+$K$2*K15+$L$2*L15+$M$2*M15+$N$2*N15+$O$2*O15)/$G$2</f>
        <v>12.3541666666667</v>
      </c>
      <c r="H15" s="34" t="n">
        <f aca="false">($P$2*P15+$Q$2*Q15+$R$2*R15+$S$2*S15+$T$2*T15+$U$2*U15)/$H$2</f>
        <v>9.67916666666667</v>
      </c>
      <c r="I15" s="34" t="n">
        <f aca="false">($V$2*V15+$W$2*W15+$X$2*X15)/$I$2</f>
        <v>14.3</v>
      </c>
      <c r="J15" s="34" t="n">
        <f aca="false">SE3!E15</f>
        <v>15.9</v>
      </c>
      <c r="K15" s="34" t="n">
        <f aca="false">RX2!E15</f>
        <v>13.6</v>
      </c>
      <c r="L15" s="31" t="n">
        <f aca="false">RANDBETWEEN(30,180)/10</f>
        <v>12.6</v>
      </c>
      <c r="M15" s="31" t="n">
        <f aca="false">RANDBETWEEN(30,180)/10</f>
        <v>10.7</v>
      </c>
      <c r="N15" s="31" t="n">
        <f aca="false">RANDBETWEEN(30,180)/10</f>
        <v>7.2</v>
      </c>
      <c r="O15" s="31" t="n">
        <f aca="false">RANDBETWEEN(30,180)/10</f>
        <v>16.3</v>
      </c>
      <c r="P15" s="31" t="n">
        <f aca="false">RANDBETWEEN(30,180)/10</f>
        <v>9.5</v>
      </c>
      <c r="Q15" s="31" t="n">
        <f aca="false">RANDBETWEEN(50,200)/10</f>
        <v>8.7</v>
      </c>
      <c r="R15" s="31" t="n">
        <f aca="false">RANDBETWEEN(50,200)/10</f>
        <v>5.3</v>
      </c>
      <c r="S15" s="31" t="n">
        <f aca="false">RANDBETWEEN(50,200)/10</f>
        <v>10.7</v>
      </c>
      <c r="T15" s="31" t="n">
        <f aca="false">RANDBETWEEN(50,200)/10</f>
        <v>7.6</v>
      </c>
      <c r="U15" s="31" t="n">
        <f aca="false">RANDBETWEEN(50,200)/10</f>
        <v>13.3</v>
      </c>
      <c r="V15" s="31" t="n">
        <f aca="false">RANDBETWEEN(50,200)/10</f>
        <v>15.7</v>
      </c>
      <c r="W15" s="31" t="n">
        <f aca="false">RANDBETWEEN(50,200)/10</f>
        <v>16.2</v>
      </c>
      <c r="X15" s="31" t="n">
        <f aca="false">RANDBETWEEN(50,200)/10</f>
        <v>6.3</v>
      </c>
      <c r="Y15" s="34"/>
      <c r="Z15" s="12" t="s">
        <v>60</v>
      </c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  <c r="AMI15" s="0"/>
      <c r="AMJ15" s="0"/>
    </row>
    <row r="16" s="35" customFormat="true" ht="13.8" hidden="false" customHeight="false" outlineLevel="0" collapsed="false">
      <c r="A16" s="17" t="str">
        <f aca="false">Liste!A16</f>
        <v>20150939</v>
      </c>
      <c r="B16" s="33" t="str">
        <f aca="false">Liste!B16</f>
        <v>DUHAUT</v>
      </c>
      <c r="C16" s="33" t="str">
        <f aca="false">Liste!C16</f>
        <v>Thomas</v>
      </c>
      <c r="D16" s="17" t="str">
        <f aca="false">Liste!D16</f>
        <v>2-A</v>
      </c>
      <c r="E16" s="34" t="n">
        <f aca="false">($G$2*G16+$H$2*H16+$I$2*I16)/$E$2*(1+Y16/200)</f>
        <v>11.7533333333333</v>
      </c>
      <c r="F16" s="17" t="n">
        <f aca="false">RANK(E16,$E$3:$E$63)</f>
        <v>32</v>
      </c>
      <c r="G16" s="34" t="n">
        <f aca="false">($J$2*J16+$K$2*K16+$L$2*L16+$M$2*M16+$N$2*N16+$O$2*O16)/$G$2</f>
        <v>10.4125</v>
      </c>
      <c r="H16" s="34" t="n">
        <f aca="false">($P$2*P16+$Q$2*Q16+$R$2*R16+$S$2*S16+$T$2*T16+$U$2*U16)/$H$2</f>
        <v>14.4958333333333</v>
      </c>
      <c r="I16" s="34" t="n">
        <f aca="false">($V$2*V16+$W$2*W16+$X$2*X16)/$I$2</f>
        <v>8.95</v>
      </c>
      <c r="J16" s="34" t="n">
        <f aca="false">SE3!E16</f>
        <v>8.9</v>
      </c>
      <c r="K16" s="34" t="n">
        <f aca="false">RX2!E16</f>
        <v>17.2</v>
      </c>
      <c r="L16" s="31" t="n">
        <f aca="false">RANDBETWEEN(30,180)/10</f>
        <v>3.3</v>
      </c>
      <c r="M16" s="31" t="n">
        <f aca="false">RANDBETWEEN(30,180)/10</f>
        <v>5.6</v>
      </c>
      <c r="N16" s="31" t="n">
        <f aca="false">RANDBETWEEN(30,180)/10</f>
        <v>13.1</v>
      </c>
      <c r="O16" s="31" t="n">
        <f aca="false">RANDBETWEEN(30,180)/10</f>
        <v>16.8</v>
      </c>
      <c r="P16" s="31" t="n">
        <f aca="false">RANDBETWEEN(30,180)/10</f>
        <v>18</v>
      </c>
      <c r="Q16" s="31" t="n">
        <f aca="false">RANDBETWEEN(50,200)/10</f>
        <v>19.4</v>
      </c>
      <c r="R16" s="31" t="n">
        <f aca="false">RANDBETWEEN(50,200)/10</f>
        <v>8.8</v>
      </c>
      <c r="S16" s="31" t="n">
        <f aca="false">RANDBETWEEN(50,200)/10</f>
        <v>11.7</v>
      </c>
      <c r="T16" s="31" t="n">
        <f aca="false">RANDBETWEEN(50,200)/10</f>
        <v>10.6</v>
      </c>
      <c r="U16" s="31" t="n">
        <f aca="false">RANDBETWEEN(50,200)/10</f>
        <v>16.6</v>
      </c>
      <c r="V16" s="31" t="n">
        <f aca="false">RANDBETWEEN(50,200)/10</f>
        <v>9.7</v>
      </c>
      <c r="W16" s="31" t="n">
        <f aca="false">RANDBETWEEN(50,200)/10</f>
        <v>5.6</v>
      </c>
      <c r="X16" s="31" t="n">
        <f aca="false">RANDBETWEEN(50,200)/10</f>
        <v>13.4</v>
      </c>
      <c r="Y16" s="34"/>
      <c r="Z16" s="10" t="s">
        <v>64</v>
      </c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  <row r="17" s="35" customFormat="true" ht="13.8" hidden="false" customHeight="false" outlineLevel="0" collapsed="false">
      <c r="A17" s="17" t="str">
        <f aca="false">Liste!A17</f>
        <v>20150940</v>
      </c>
      <c r="B17" s="33" t="str">
        <f aca="false">Liste!B17</f>
        <v>DUMETZ</v>
      </c>
      <c r="C17" s="33" t="str">
        <f aca="false">Liste!C17</f>
        <v>Joffrey</v>
      </c>
      <c r="D17" s="17" t="str">
        <f aca="false">Liste!D17</f>
        <v>2-C</v>
      </c>
      <c r="E17" s="34" t="n">
        <f aca="false">($G$2*G17+$H$2*H17+$I$2*I17)/$E$2*(1+Y17/200)</f>
        <v>11.9166666666667</v>
      </c>
      <c r="F17" s="17" t="n">
        <f aca="false">RANK(E17,$E$3:$E$63)</f>
        <v>27</v>
      </c>
      <c r="G17" s="34" t="n">
        <f aca="false">($J$2*J17+$K$2*K17+$L$2*L17+$M$2*M17+$N$2*N17+$O$2*O17)/$G$2</f>
        <v>9.825</v>
      </c>
      <c r="H17" s="34" t="n">
        <f aca="false">($P$2*P17+$Q$2*Q17+$R$2*R17+$S$2*S17+$T$2*T17+$U$2*U17)/$H$2</f>
        <v>14.7083333333333</v>
      </c>
      <c r="I17" s="34" t="n">
        <f aca="false">($V$2*V17+$W$2*W17+$X$2*X17)/$I$2</f>
        <v>10.5166666666667</v>
      </c>
      <c r="J17" s="34" t="n">
        <f aca="false">SE3!E17</f>
        <v>5.2</v>
      </c>
      <c r="K17" s="34" t="n">
        <f aca="false">RX2!E17</f>
        <v>15.8</v>
      </c>
      <c r="L17" s="31" t="n">
        <f aca="false">RANDBETWEEN(30,180)/10</f>
        <v>14.3</v>
      </c>
      <c r="M17" s="31" t="n">
        <f aca="false">RANDBETWEEN(30,180)/10</f>
        <v>11.7</v>
      </c>
      <c r="N17" s="31" t="n">
        <f aca="false">RANDBETWEEN(30,180)/10</f>
        <v>5</v>
      </c>
      <c r="O17" s="31" t="n">
        <f aca="false">RANDBETWEEN(30,180)/10</f>
        <v>12</v>
      </c>
      <c r="P17" s="31" t="n">
        <f aca="false">RANDBETWEEN(30,180)/10</f>
        <v>14</v>
      </c>
      <c r="Q17" s="31" t="n">
        <f aca="false">RANDBETWEEN(50,200)/10</f>
        <v>9.1</v>
      </c>
      <c r="R17" s="31" t="n">
        <f aca="false">RANDBETWEEN(50,200)/10</f>
        <v>16.9</v>
      </c>
      <c r="S17" s="31" t="n">
        <f aca="false">RANDBETWEEN(50,200)/10</f>
        <v>12.5</v>
      </c>
      <c r="T17" s="31" t="n">
        <f aca="false">RANDBETWEEN(50,200)/10</f>
        <v>16</v>
      </c>
      <c r="U17" s="31" t="n">
        <f aca="false">RANDBETWEEN(50,200)/10</f>
        <v>18.9</v>
      </c>
      <c r="V17" s="31" t="n">
        <f aca="false">RANDBETWEEN(50,200)/10</f>
        <v>14.5</v>
      </c>
      <c r="W17" s="31" t="n">
        <f aca="false">RANDBETWEEN(50,200)/10</f>
        <v>5.9</v>
      </c>
      <c r="X17" s="31" t="n">
        <f aca="false">RANDBETWEEN(50,200)/10</f>
        <v>7.8</v>
      </c>
      <c r="Y17" s="34"/>
      <c r="Z17" s="10" t="s">
        <v>67</v>
      </c>
      <c r="ALW17" s="0"/>
      <c r="ALX17" s="0"/>
      <c r="ALY17" s="0"/>
      <c r="ALZ17" s="0"/>
      <c r="AMA17" s="0"/>
      <c r="AMB17" s="0"/>
      <c r="AMC17" s="0"/>
      <c r="AMD17" s="0"/>
      <c r="AME17" s="0"/>
      <c r="AMF17" s="0"/>
      <c r="AMG17" s="0"/>
      <c r="AMH17" s="0"/>
      <c r="AMI17" s="0"/>
      <c r="AMJ17" s="0"/>
    </row>
    <row r="18" s="35" customFormat="true" ht="13.8" hidden="false" customHeight="false" outlineLevel="0" collapsed="false">
      <c r="A18" s="17" t="str">
        <f aca="false">Liste!A18</f>
        <v>20150941</v>
      </c>
      <c r="B18" s="33" t="str">
        <f aca="false">Liste!B18</f>
        <v>FEVRIER</v>
      </c>
      <c r="C18" s="33" t="str">
        <f aca="false">Liste!C18</f>
        <v>Tennessee</v>
      </c>
      <c r="D18" s="17" t="str">
        <f aca="false">Liste!D18</f>
        <v>2-C</v>
      </c>
      <c r="E18" s="34" t="n">
        <f aca="false">($G$2*G18+$H$2*H18+$I$2*I18)/$E$2*(1+Y18/200)</f>
        <v>9.595</v>
      </c>
      <c r="F18" s="17" t="n">
        <f aca="false">RANK(E18,$E$3:$E$63)</f>
        <v>58</v>
      </c>
      <c r="G18" s="34" t="n">
        <f aca="false">($J$2*J18+$K$2*K18+$L$2*L18+$M$2*M18+$N$2*N18+$O$2*O18)/$G$2</f>
        <v>8.87083333333333</v>
      </c>
      <c r="H18" s="34" t="n">
        <f aca="false">($P$2*P18+$Q$2*Q18+$R$2*R18+$S$2*S18+$T$2*T18+$U$2*U18)/$H$2</f>
        <v>9.225</v>
      </c>
      <c r="I18" s="34" t="n">
        <f aca="false">($V$2*V18+$W$2*W18+$X$2*X18)/$I$2</f>
        <v>11.7833333333333</v>
      </c>
      <c r="J18" s="34" t="n">
        <f aca="false">SE3!E18</f>
        <v>8.6</v>
      </c>
      <c r="K18" s="34" t="n">
        <f aca="false">RX2!E18</f>
        <v>5.2</v>
      </c>
      <c r="L18" s="31" t="n">
        <f aca="false">RANDBETWEEN(30,180)/10</f>
        <v>10.1</v>
      </c>
      <c r="M18" s="31" t="n">
        <f aca="false">RANDBETWEEN(30,180)/10</f>
        <v>3.3</v>
      </c>
      <c r="N18" s="31" t="n">
        <f aca="false">RANDBETWEEN(30,180)/10</f>
        <v>13.1</v>
      </c>
      <c r="O18" s="31" t="n">
        <f aca="false">RANDBETWEEN(30,180)/10</f>
        <v>14</v>
      </c>
      <c r="P18" s="31" t="n">
        <f aca="false">RANDBETWEEN(30,180)/10</f>
        <v>8.5</v>
      </c>
      <c r="Q18" s="31" t="n">
        <f aca="false">RANDBETWEEN(50,200)/10</f>
        <v>11.2</v>
      </c>
      <c r="R18" s="31" t="n">
        <f aca="false">RANDBETWEEN(50,200)/10</f>
        <v>10.9</v>
      </c>
      <c r="S18" s="31" t="n">
        <f aca="false">RANDBETWEEN(50,200)/10</f>
        <v>12</v>
      </c>
      <c r="T18" s="31" t="n">
        <f aca="false">RANDBETWEEN(50,200)/10</f>
        <v>7.2</v>
      </c>
      <c r="U18" s="31" t="n">
        <f aca="false">RANDBETWEEN(50,200)/10</f>
        <v>6.2</v>
      </c>
      <c r="V18" s="31" t="n">
        <f aca="false">RANDBETWEEN(50,200)/10</f>
        <v>11.1</v>
      </c>
      <c r="W18" s="31" t="n">
        <f aca="false">RANDBETWEEN(50,200)/10</f>
        <v>14</v>
      </c>
      <c r="X18" s="31" t="n">
        <f aca="false">RANDBETWEEN(50,200)/10</f>
        <v>9.4</v>
      </c>
      <c r="Y18" s="34"/>
      <c r="Z18" s="10" t="s">
        <v>71</v>
      </c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</row>
    <row r="19" s="35" customFormat="true" ht="13.8" hidden="false" customHeight="false" outlineLevel="0" collapsed="false">
      <c r="A19" s="17" t="str">
        <f aca="false">Liste!A19</f>
        <v>20150942</v>
      </c>
      <c r="B19" s="33" t="str">
        <f aca="false">Liste!B19</f>
        <v>FORGET</v>
      </c>
      <c r="C19" s="33" t="str">
        <f aca="false">Liste!C19</f>
        <v>Kévin</v>
      </c>
      <c r="D19" s="17" t="str">
        <f aca="false">Liste!D19</f>
        <v>2-B</v>
      </c>
      <c r="E19" s="34" t="n">
        <f aca="false">($G$2*G19+$H$2*H19+$I$2*I19)/$E$2*(1+Y19/200)</f>
        <v>10.0666666666667</v>
      </c>
      <c r="F19" s="17" t="n">
        <f aca="false">RANK(E19,$E$3:$E$63)</f>
        <v>56</v>
      </c>
      <c r="G19" s="34" t="n">
        <f aca="false">($J$2*J19+$K$2*K19+$L$2*L19+$M$2*M19+$N$2*N19+$O$2*O19)/$G$2</f>
        <v>7.42916666666667</v>
      </c>
      <c r="H19" s="34" t="n">
        <f aca="false">($P$2*P19+$Q$2*Q19+$R$2*R19+$S$2*S19+$T$2*T19+$U$2*U19)/$H$2</f>
        <v>9.94583333333333</v>
      </c>
      <c r="I19" s="34" t="n">
        <f aca="false">($V$2*V19+$W$2*W19+$X$2*X19)/$I$2</f>
        <v>15.5833333333333</v>
      </c>
      <c r="J19" s="34" t="n">
        <f aca="false">SE3!E19</f>
        <v>6.4</v>
      </c>
      <c r="K19" s="34" t="n">
        <f aca="false">RX2!E19</f>
        <v>13.1</v>
      </c>
      <c r="L19" s="31" t="n">
        <f aca="false">RANDBETWEEN(30,180)/10</f>
        <v>7.5</v>
      </c>
      <c r="M19" s="31" t="n">
        <f aca="false">RANDBETWEEN(30,180)/10</f>
        <v>3.8</v>
      </c>
      <c r="N19" s="31" t="n">
        <f aca="false">RANDBETWEEN(30,180)/10</f>
        <v>10.7</v>
      </c>
      <c r="O19" s="31" t="n">
        <f aca="false">RANDBETWEEN(30,180)/10</f>
        <v>4</v>
      </c>
      <c r="P19" s="31" t="n">
        <f aca="false">RANDBETWEEN(30,180)/10</f>
        <v>14.8</v>
      </c>
      <c r="Q19" s="31" t="n">
        <f aca="false">RANDBETWEEN(50,200)/10</f>
        <v>10.7</v>
      </c>
      <c r="R19" s="31" t="n">
        <f aca="false">RANDBETWEEN(50,200)/10</f>
        <v>15.4</v>
      </c>
      <c r="S19" s="31" t="n">
        <f aca="false">RANDBETWEEN(50,200)/10</f>
        <v>7.5</v>
      </c>
      <c r="T19" s="31" t="n">
        <f aca="false">RANDBETWEEN(50,200)/10</f>
        <v>6.8</v>
      </c>
      <c r="U19" s="31" t="n">
        <f aca="false">RANDBETWEEN(50,200)/10</f>
        <v>5.7</v>
      </c>
      <c r="V19" s="31" t="n">
        <f aca="false">RANDBETWEEN(50,200)/10</f>
        <v>19.8</v>
      </c>
      <c r="W19" s="31" t="n">
        <f aca="false">RANDBETWEEN(50,200)/10</f>
        <v>8.8</v>
      </c>
      <c r="X19" s="31" t="n">
        <f aca="false">RANDBETWEEN(50,200)/10</f>
        <v>16.5</v>
      </c>
      <c r="Y19" s="34"/>
      <c r="Z19" s="12" t="s">
        <v>75</v>
      </c>
      <c r="ALW19" s="0"/>
      <c r="ALX19" s="0"/>
      <c r="ALY19" s="0"/>
      <c r="ALZ19" s="0"/>
      <c r="AMA19" s="0"/>
      <c r="AMB19" s="0"/>
      <c r="AMC19" s="0"/>
      <c r="AMD19" s="0"/>
      <c r="AME19" s="0"/>
      <c r="AMF19" s="0"/>
      <c r="AMG19" s="0"/>
      <c r="AMH19" s="0"/>
      <c r="AMI19" s="0"/>
      <c r="AMJ19" s="0"/>
    </row>
    <row r="20" s="35" customFormat="true" ht="13.8" hidden="false" customHeight="false" outlineLevel="0" collapsed="false">
      <c r="A20" s="17" t="str">
        <f aca="false">Liste!A20</f>
        <v>20150943</v>
      </c>
      <c r="B20" s="33" t="str">
        <f aca="false">Liste!B20</f>
        <v>FROISSART</v>
      </c>
      <c r="C20" s="33" t="str">
        <f aca="false">Liste!C20</f>
        <v>Marie</v>
      </c>
      <c r="D20" s="17" t="str">
        <f aca="false">Liste!D20</f>
        <v>2-B</v>
      </c>
      <c r="E20" s="34" t="n">
        <f aca="false">($G$2*G20+$H$2*H20+$I$2*I20)/$E$2*(1+Y20/200)</f>
        <v>12.93</v>
      </c>
      <c r="F20" s="17" t="n">
        <f aca="false">RANK(E20,$E$3:$E$63)</f>
        <v>9</v>
      </c>
      <c r="G20" s="34" t="n">
        <f aca="false">($J$2*J20+$K$2*K20+$L$2*L20+$M$2*M20+$N$2*N20+$O$2*O20)/$G$2</f>
        <v>9.69166666666667</v>
      </c>
      <c r="H20" s="34" t="n">
        <f aca="false">($P$2*P20+$Q$2*Q20+$R$2*R20+$S$2*S20+$T$2*T20+$U$2*U20)/$H$2</f>
        <v>16.2333333333333</v>
      </c>
      <c r="I20" s="34" t="n">
        <f aca="false">($V$2*V20+$W$2*W20+$X$2*X20)/$I$2</f>
        <v>12.8</v>
      </c>
      <c r="J20" s="34" t="n">
        <f aca="false">SE3!E20</f>
        <v>16</v>
      </c>
      <c r="K20" s="34" t="n">
        <f aca="false">RX2!E20</f>
        <v>16.1</v>
      </c>
      <c r="L20" s="31" t="n">
        <f aca="false">RANDBETWEEN(30,180)/10</f>
        <v>4.5</v>
      </c>
      <c r="M20" s="31" t="n">
        <f aca="false">RANDBETWEEN(30,180)/10</f>
        <v>12</v>
      </c>
      <c r="N20" s="31" t="n">
        <f aca="false">RANDBETWEEN(30,180)/10</f>
        <v>3.4</v>
      </c>
      <c r="O20" s="31" t="n">
        <f aca="false">RANDBETWEEN(30,180)/10</f>
        <v>4.6</v>
      </c>
      <c r="P20" s="31" t="n">
        <f aca="false">RANDBETWEEN(30,180)/10</f>
        <v>15.5</v>
      </c>
      <c r="Q20" s="31" t="n">
        <f aca="false">RANDBETWEEN(50,200)/10</f>
        <v>17.9</v>
      </c>
      <c r="R20" s="31" t="n">
        <f aca="false">RANDBETWEEN(50,200)/10</f>
        <v>17.4</v>
      </c>
      <c r="S20" s="31" t="n">
        <f aca="false">RANDBETWEEN(50,200)/10</f>
        <v>13</v>
      </c>
      <c r="T20" s="31" t="n">
        <f aca="false">RANDBETWEEN(50,200)/10</f>
        <v>17.9</v>
      </c>
      <c r="U20" s="31" t="n">
        <f aca="false">RANDBETWEEN(50,200)/10</f>
        <v>17.5</v>
      </c>
      <c r="V20" s="31" t="n">
        <f aca="false">RANDBETWEEN(50,200)/10</f>
        <v>14.7</v>
      </c>
      <c r="W20" s="31" t="n">
        <f aca="false">RANDBETWEEN(50,200)/10</f>
        <v>6.6</v>
      </c>
      <c r="X20" s="31" t="n">
        <f aca="false">RANDBETWEEN(50,200)/10</f>
        <v>19.5</v>
      </c>
      <c r="Y20" s="34"/>
      <c r="Z20" s="12" t="s">
        <v>79</v>
      </c>
      <c r="ALW20" s="0"/>
      <c r="ALX20" s="0"/>
      <c r="ALY20" s="0"/>
      <c r="ALZ20" s="0"/>
      <c r="AMA20" s="0"/>
      <c r="AMB20" s="0"/>
      <c r="AMC20" s="0"/>
      <c r="AMD20" s="0"/>
      <c r="AME20" s="0"/>
      <c r="AMF20" s="0"/>
      <c r="AMG20" s="0"/>
      <c r="AMH20" s="0"/>
      <c r="AMI20" s="0"/>
      <c r="AMJ20" s="0"/>
    </row>
    <row r="21" s="35" customFormat="true" ht="13.8" hidden="false" customHeight="false" outlineLevel="0" collapsed="false">
      <c r="A21" s="17" t="str">
        <f aca="false">Liste!A21</f>
        <v>20150944</v>
      </c>
      <c r="B21" s="33" t="str">
        <f aca="false">Liste!B21</f>
        <v>FRUY</v>
      </c>
      <c r="C21" s="33" t="str">
        <f aca="false">Liste!C21</f>
        <v>Sébastien</v>
      </c>
      <c r="D21" s="17" t="str">
        <f aca="false">Liste!D21</f>
        <v>2-B</v>
      </c>
      <c r="E21" s="34" t="n">
        <f aca="false">($G$2*G21+$H$2*H21+$I$2*I21)/$E$2*(1+Y21/200)</f>
        <v>9.16</v>
      </c>
      <c r="F21" s="17" t="n">
        <f aca="false">RANK(E21,$E$3:$E$63)</f>
        <v>59</v>
      </c>
      <c r="G21" s="34" t="n">
        <f aca="false">($J$2*J21+$K$2*K21+$L$2*L21+$M$2*M21+$N$2*N21+$O$2*O21)/$G$2</f>
        <v>9.54583333333333</v>
      </c>
      <c r="H21" s="34" t="n">
        <f aca="false">($P$2*P21+$Q$2*Q21+$R$2*R21+$S$2*S21+$T$2*T21+$U$2*U21)/$H$2</f>
        <v>9.00416666666667</v>
      </c>
      <c r="I21" s="34" t="n">
        <f aca="false">($V$2*V21+$W$2*W21+$X$2*X21)/$I$2</f>
        <v>8.7</v>
      </c>
      <c r="J21" s="34" t="n">
        <f aca="false">SE3!E21</f>
        <v>10.2</v>
      </c>
      <c r="K21" s="34" t="n">
        <f aca="false">RX2!E21</f>
        <v>10.8</v>
      </c>
      <c r="L21" s="31" t="n">
        <f aca="false">RANDBETWEEN(30,180)/10</f>
        <v>17.5</v>
      </c>
      <c r="M21" s="31" t="n">
        <f aca="false">RANDBETWEEN(30,180)/10</f>
        <v>5.6</v>
      </c>
      <c r="N21" s="31" t="n">
        <f aca="false">RANDBETWEEN(30,180)/10</f>
        <v>5.9</v>
      </c>
      <c r="O21" s="31" t="n">
        <f aca="false">RANDBETWEEN(30,180)/10</f>
        <v>11.9</v>
      </c>
      <c r="P21" s="31" t="n">
        <f aca="false">RANDBETWEEN(30,180)/10</f>
        <v>3.8</v>
      </c>
      <c r="Q21" s="31" t="n">
        <f aca="false">RANDBETWEEN(50,200)/10</f>
        <v>6.8</v>
      </c>
      <c r="R21" s="31" t="n">
        <f aca="false">RANDBETWEEN(50,200)/10</f>
        <v>17.5</v>
      </c>
      <c r="S21" s="31" t="n">
        <f aca="false">RANDBETWEEN(50,200)/10</f>
        <v>7.1</v>
      </c>
      <c r="T21" s="31" t="n">
        <f aca="false">RANDBETWEEN(50,200)/10</f>
        <v>18.4</v>
      </c>
      <c r="U21" s="31" t="n">
        <f aca="false">RANDBETWEEN(50,200)/10</f>
        <v>6.7</v>
      </c>
      <c r="V21" s="31" t="n">
        <f aca="false">RANDBETWEEN(50,200)/10</f>
        <v>5.8</v>
      </c>
      <c r="W21" s="31" t="n">
        <f aca="false">RANDBETWEEN(50,200)/10</f>
        <v>11.7</v>
      </c>
      <c r="X21" s="31" t="n">
        <f aca="false">RANDBETWEEN(50,200)/10</f>
        <v>11.4</v>
      </c>
      <c r="Y21" s="34"/>
      <c r="Z21" s="12" t="s">
        <v>83</v>
      </c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  <c r="AMI21" s="0"/>
      <c r="AMJ21" s="0"/>
    </row>
    <row r="22" s="35" customFormat="true" ht="13.8" hidden="false" customHeight="false" outlineLevel="0" collapsed="false">
      <c r="A22" s="17" t="str">
        <f aca="false">Liste!A22</f>
        <v>20150945</v>
      </c>
      <c r="B22" s="33" t="str">
        <f aca="false">Liste!B22</f>
        <v>GEERAERT</v>
      </c>
      <c r="C22" s="33" t="str">
        <f aca="false">Liste!C22</f>
        <v>Quentin</v>
      </c>
      <c r="D22" s="17" t="str">
        <f aca="false">Liste!D22</f>
        <v>2-C</v>
      </c>
      <c r="E22" s="34" t="n">
        <f aca="false">($G$2*G22+$H$2*H22+$I$2*I22)/$E$2*(1+Y22/200)</f>
        <v>10.985</v>
      </c>
      <c r="F22" s="17" t="n">
        <f aca="false">RANK(E22,$E$3:$E$63)</f>
        <v>45</v>
      </c>
      <c r="G22" s="34" t="n">
        <f aca="false">($J$2*J22+$K$2*K22+$L$2*L22+$M$2*M22+$N$2*N22+$O$2*O22)/$G$2</f>
        <v>9.2</v>
      </c>
      <c r="H22" s="34" t="n">
        <f aca="false">($P$2*P22+$Q$2*Q22+$R$2*R22+$S$2*S22+$T$2*T22+$U$2*U22)/$H$2</f>
        <v>10.8458333333333</v>
      </c>
      <c r="I22" s="34" t="n">
        <f aca="false">($V$2*V22+$W$2*W22+$X$2*X22)/$I$2</f>
        <v>14.8333333333333</v>
      </c>
      <c r="J22" s="34" t="n">
        <f aca="false">SE3!E22</f>
        <v>8.9</v>
      </c>
      <c r="K22" s="34" t="n">
        <f aca="false">RX2!E22</f>
        <v>9.8</v>
      </c>
      <c r="L22" s="31" t="n">
        <f aca="false">RANDBETWEEN(30,180)/10</f>
        <v>11.8</v>
      </c>
      <c r="M22" s="31" t="n">
        <f aca="false">RANDBETWEEN(30,180)/10</f>
        <v>12.6</v>
      </c>
      <c r="N22" s="31" t="n">
        <f aca="false">RANDBETWEEN(30,180)/10</f>
        <v>5.5</v>
      </c>
      <c r="O22" s="31" t="n">
        <f aca="false">RANDBETWEEN(30,180)/10</f>
        <v>7</v>
      </c>
      <c r="P22" s="31" t="n">
        <f aca="false">RANDBETWEEN(30,180)/10</f>
        <v>6.5</v>
      </c>
      <c r="Q22" s="31" t="n">
        <f aca="false">RANDBETWEEN(50,200)/10</f>
        <v>9.3</v>
      </c>
      <c r="R22" s="31" t="n">
        <f aca="false">RANDBETWEEN(50,200)/10</f>
        <v>10.1</v>
      </c>
      <c r="S22" s="31" t="n">
        <f aca="false">RANDBETWEEN(50,200)/10</f>
        <v>17.5</v>
      </c>
      <c r="T22" s="31" t="n">
        <f aca="false">RANDBETWEEN(50,200)/10</f>
        <v>8.7</v>
      </c>
      <c r="U22" s="31" t="n">
        <f aca="false">RANDBETWEEN(50,200)/10</f>
        <v>11.2</v>
      </c>
      <c r="V22" s="31" t="n">
        <f aca="false">RANDBETWEEN(50,200)/10</f>
        <v>18.2</v>
      </c>
      <c r="W22" s="31" t="n">
        <f aca="false">RANDBETWEEN(50,200)/10</f>
        <v>10.1</v>
      </c>
      <c r="X22" s="31" t="n">
        <f aca="false">RANDBETWEEN(50,200)/10</f>
        <v>14.2</v>
      </c>
      <c r="Y22" s="34"/>
      <c r="Z22" s="10" t="s">
        <v>87</v>
      </c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  <c r="AMI22" s="0"/>
      <c r="AMJ22" s="0"/>
    </row>
    <row r="23" s="35" customFormat="true" ht="13.8" hidden="false" customHeight="false" outlineLevel="0" collapsed="false">
      <c r="A23" s="17" t="str">
        <f aca="false">Liste!A23</f>
        <v>20150946</v>
      </c>
      <c r="B23" s="33" t="str">
        <f aca="false">Liste!B23</f>
        <v>GREMBER</v>
      </c>
      <c r="C23" s="33" t="str">
        <f aca="false">Liste!C23</f>
        <v>Nicolas</v>
      </c>
      <c r="D23" s="17" t="str">
        <f aca="false">Liste!D23</f>
        <v>2-A</v>
      </c>
      <c r="E23" s="34" t="n">
        <f aca="false">($G$2*G23+$H$2*H23+$I$2*I23)/$E$2*(1+Y23/200)</f>
        <v>10.5533333333333</v>
      </c>
      <c r="F23" s="17" t="n">
        <f aca="false">RANK(E23,$E$3:$E$63)</f>
        <v>53</v>
      </c>
      <c r="G23" s="34" t="n">
        <f aca="false">($J$2*J23+$K$2*K23+$L$2*L23+$M$2*M23+$N$2*N23+$O$2*O23)/$G$2</f>
        <v>9.84583333333333</v>
      </c>
      <c r="H23" s="34" t="n">
        <f aca="false">($P$2*P23+$Q$2*Q23+$R$2*R23+$S$2*S23+$T$2*T23+$U$2*U23)/$H$2</f>
        <v>11.4625</v>
      </c>
      <c r="I23" s="34" t="n">
        <f aca="false">($V$2*V23+$W$2*W23+$X$2*X23)/$I$2</f>
        <v>10.15</v>
      </c>
      <c r="J23" s="34" t="n">
        <f aca="false">SE3!E23</f>
        <v>11.8</v>
      </c>
      <c r="K23" s="34" t="n">
        <f aca="false">RX2!E23</f>
        <v>8.5</v>
      </c>
      <c r="L23" s="31" t="n">
        <f aca="false">RANDBETWEEN(30,180)/10</f>
        <v>9.6</v>
      </c>
      <c r="M23" s="31" t="n">
        <f aca="false">RANDBETWEEN(30,180)/10</f>
        <v>4.1</v>
      </c>
      <c r="N23" s="31" t="n">
        <f aca="false">RANDBETWEEN(30,180)/10</f>
        <v>13</v>
      </c>
      <c r="O23" s="31" t="n">
        <f aca="false">RANDBETWEEN(30,180)/10</f>
        <v>12.5</v>
      </c>
      <c r="P23" s="31" t="n">
        <f aca="false">RANDBETWEEN(30,180)/10</f>
        <v>10.4</v>
      </c>
      <c r="Q23" s="31" t="n">
        <f aca="false">RANDBETWEEN(50,200)/10</f>
        <v>5.1</v>
      </c>
      <c r="R23" s="31" t="n">
        <f aca="false">RANDBETWEEN(50,200)/10</f>
        <v>11.2</v>
      </c>
      <c r="S23" s="31" t="n">
        <f aca="false">RANDBETWEEN(50,200)/10</f>
        <v>17.6</v>
      </c>
      <c r="T23" s="31" t="n">
        <f aca="false">RANDBETWEEN(50,200)/10</f>
        <v>6.4</v>
      </c>
      <c r="U23" s="31" t="n">
        <f aca="false">RANDBETWEEN(50,200)/10</f>
        <v>13.4</v>
      </c>
      <c r="V23" s="31" t="n">
        <f aca="false">RANDBETWEEN(50,200)/10</f>
        <v>11</v>
      </c>
      <c r="W23" s="31" t="n">
        <f aca="false">RANDBETWEEN(50,200)/10</f>
        <v>6.2</v>
      </c>
      <c r="X23" s="31" t="n">
        <f aca="false">RANDBETWEEN(50,200)/10</f>
        <v>15.5</v>
      </c>
      <c r="Y23" s="34"/>
      <c r="Z23" s="10" t="s">
        <v>90</v>
      </c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  <c r="AMI23" s="0"/>
      <c r="AMJ23" s="0"/>
    </row>
    <row r="24" s="35" customFormat="true" ht="13.8" hidden="false" customHeight="false" outlineLevel="0" collapsed="false">
      <c r="A24" s="17" t="str">
        <f aca="false">Liste!A24</f>
        <v>20150947</v>
      </c>
      <c r="B24" s="33" t="str">
        <f aca="false">Liste!B24</f>
        <v>HENNAUT</v>
      </c>
      <c r="C24" s="33" t="str">
        <f aca="false">Liste!C24</f>
        <v>Thibaut</v>
      </c>
      <c r="D24" s="17" t="str">
        <f aca="false">Liste!D24</f>
        <v>2-A</v>
      </c>
      <c r="E24" s="34" t="n">
        <f aca="false">($G$2*G24+$H$2*H24+$I$2*I24)/$E$2*(1+Y24/200)</f>
        <v>11.235</v>
      </c>
      <c r="F24" s="17" t="n">
        <f aca="false">RANK(E24,$E$3:$E$63)</f>
        <v>37</v>
      </c>
      <c r="G24" s="34" t="n">
        <f aca="false">($J$2*J24+$K$2*K24+$L$2*L24+$M$2*M24+$N$2*N24+$O$2*O24)/$G$2</f>
        <v>9.50833333333333</v>
      </c>
      <c r="H24" s="34" t="n">
        <f aca="false">($P$2*P24+$Q$2*Q24+$R$2*R24+$S$2*S24+$T$2*T24+$U$2*U24)/$H$2</f>
        <v>11.9875</v>
      </c>
      <c r="I24" s="34" t="n">
        <f aca="false">($V$2*V24+$W$2*W24+$X$2*X24)/$I$2</f>
        <v>13.1833333333333</v>
      </c>
      <c r="J24" s="34" t="n">
        <f aca="false">SE3!E24</f>
        <v>13.9</v>
      </c>
      <c r="K24" s="34" t="n">
        <f aca="false">RX2!E24</f>
        <v>14</v>
      </c>
      <c r="L24" s="31" t="n">
        <f aca="false">RANDBETWEEN(30,180)/10</f>
        <v>9.7</v>
      </c>
      <c r="M24" s="31" t="n">
        <f aca="false">RANDBETWEEN(30,180)/10</f>
        <v>4</v>
      </c>
      <c r="N24" s="31" t="n">
        <f aca="false">RANDBETWEEN(30,180)/10</f>
        <v>11.6</v>
      </c>
      <c r="O24" s="31" t="n">
        <f aca="false">RANDBETWEEN(30,180)/10</f>
        <v>3.2</v>
      </c>
      <c r="P24" s="31" t="n">
        <f aca="false">RANDBETWEEN(30,180)/10</f>
        <v>7.4</v>
      </c>
      <c r="Q24" s="31" t="n">
        <f aca="false">RANDBETWEEN(50,200)/10</f>
        <v>6.5</v>
      </c>
      <c r="R24" s="31" t="n">
        <f aca="false">RANDBETWEEN(50,200)/10</f>
        <v>11.9</v>
      </c>
      <c r="S24" s="31" t="n">
        <f aca="false">RANDBETWEEN(50,200)/10</f>
        <v>18.1</v>
      </c>
      <c r="T24" s="31" t="n">
        <f aca="false">RANDBETWEEN(50,200)/10</f>
        <v>16</v>
      </c>
      <c r="U24" s="31" t="n">
        <f aca="false">RANDBETWEEN(50,200)/10</f>
        <v>11.4</v>
      </c>
      <c r="V24" s="31" t="n">
        <f aca="false">RANDBETWEEN(50,200)/10</f>
        <v>11</v>
      </c>
      <c r="W24" s="31" t="n">
        <f aca="false">RANDBETWEEN(50,200)/10</f>
        <v>16.7</v>
      </c>
      <c r="X24" s="31" t="n">
        <f aca="false">RANDBETWEEN(50,200)/10</f>
        <v>12.7</v>
      </c>
      <c r="Y24" s="34"/>
      <c r="Z24" s="10" t="s">
        <v>92</v>
      </c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  <c r="AMI24" s="0"/>
      <c r="AMJ24" s="0"/>
    </row>
    <row r="25" s="35" customFormat="true" ht="13.8" hidden="false" customHeight="false" outlineLevel="0" collapsed="false">
      <c r="A25" s="17" t="str">
        <f aca="false">Liste!A25</f>
        <v>20150948</v>
      </c>
      <c r="B25" s="33" t="str">
        <f aca="false">Liste!B25</f>
        <v>KURZAWSKI</v>
      </c>
      <c r="C25" s="33" t="str">
        <f aca="false">Liste!C25</f>
        <v>Pierre</v>
      </c>
      <c r="D25" s="17" t="str">
        <f aca="false">Liste!D25</f>
        <v>2-B</v>
      </c>
      <c r="E25" s="34" t="n">
        <f aca="false">($G$2*G25+$H$2*H25+$I$2*I25)/$E$2*(1+Y25/200)</f>
        <v>12.475</v>
      </c>
      <c r="F25" s="17" t="n">
        <f aca="false">RANK(E25,$E$3:$E$63)</f>
        <v>17</v>
      </c>
      <c r="G25" s="34" t="n">
        <f aca="false">($J$2*J25+$K$2*K25+$L$2*L25+$M$2*M25+$N$2*N25+$O$2*O25)/$G$2</f>
        <v>10.9833333333333</v>
      </c>
      <c r="H25" s="34" t="n">
        <f aca="false">($P$2*P25+$Q$2*Q25+$R$2*R25+$S$2*S25+$T$2*T25+$U$2*U25)/$H$2</f>
        <v>12.0458333333333</v>
      </c>
      <c r="I25" s="34" t="n">
        <f aca="false">($V$2*V25+$W$2*W25+$X$2*X25)/$I$2</f>
        <v>16.3166666666667</v>
      </c>
      <c r="J25" s="34" t="n">
        <f aca="false">SE3!E25</f>
        <v>7</v>
      </c>
      <c r="K25" s="34" t="n">
        <f aca="false">RX2!E25</f>
        <v>18.7</v>
      </c>
      <c r="L25" s="31" t="n">
        <f aca="false">RANDBETWEEN(30,180)/10</f>
        <v>14.3</v>
      </c>
      <c r="M25" s="31" t="n">
        <f aca="false">RANDBETWEEN(30,180)/10</f>
        <v>7.3</v>
      </c>
      <c r="N25" s="31" t="n">
        <f aca="false">RANDBETWEEN(30,180)/10</f>
        <v>8</v>
      </c>
      <c r="O25" s="31" t="n">
        <f aca="false">RANDBETWEEN(30,180)/10</f>
        <v>17.7</v>
      </c>
      <c r="P25" s="31" t="n">
        <f aca="false">RANDBETWEEN(30,180)/10</f>
        <v>9.3</v>
      </c>
      <c r="Q25" s="31" t="n">
        <f aca="false">RANDBETWEEN(50,200)/10</f>
        <v>14.8</v>
      </c>
      <c r="R25" s="31" t="n">
        <f aca="false">RANDBETWEEN(50,200)/10</f>
        <v>15</v>
      </c>
      <c r="S25" s="31" t="n">
        <f aca="false">RANDBETWEEN(50,200)/10</f>
        <v>17.4</v>
      </c>
      <c r="T25" s="31" t="n">
        <f aca="false">RANDBETWEEN(50,200)/10</f>
        <v>11.9</v>
      </c>
      <c r="U25" s="31" t="n">
        <f aca="false">RANDBETWEEN(50,200)/10</f>
        <v>6.1</v>
      </c>
      <c r="V25" s="31" t="n">
        <f aca="false">RANDBETWEEN(50,200)/10</f>
        <v>18.7</v>
      </c>
      <c r="W25" s="31" t="n">
        <f aca="false">RANDBETWEEN(50,200)/10</f>
        <v>13.5</v>
      </c>
      <c r="X25" s="31" t="n">
        <f aca="false">RANDBETWEEN(50,200)/10</f>
        <v>14.8</v>
      </c>
      <c r="Y25" s="34"/>
      <c r="Z25" s="12" t="s">
        <v>97</v>
      </c>
      <c r="ALW25" s="0"/>
      <c r="ALX25" s="0"/>
      <c r="ALY25" s="0"/>
      <c r="ALZ25" s="0"/>
      <c r="AMA25" s="0"/>
      <c r="AMB25" s="0"/>
      <c r="AMC25" s="0"/>
      <c r="AMD25" s="0"/>
      <c r="AME25" s="0"/>
      <c r="AMF25" s="0"/>
      <c r="AMG25" s="0"/>
      <c r="AMH25" s="0"/>
      <c r="AMI25" s="0"/>
      <c r="AMJ25" s="0"/>
    </row>
    <row r="26" s="35" customFormat="true" ht="13.8" hidden="false" customHeight="false" outlineLevel="0" collapsed="false">
      <c r="A26" s="17" t="str">
        <f aca="false">Liste!A26</f>
        <v>20150949</v>
      </c>
      <c r="B26" s="33" t="str">
        <f aca="false">Liste!B26</f>
        <v>LAMBERSENS</v>
      </c>
      <c r="C26" s="33" t="str">
        <f aca="false">Liste!C26</f>
        <v>Adrien</v>
      </c>
      <c r="D26" s="17" t="str">
        <f aca="false">Liste!D26</f>
        <v>2-B</v>
      </c>
      <c r="E26" s="34" t="n">
        <f aca="false">($G$2*G26+$H$2*H26+$I$2*I26)/$E$2*(1+Y26/200)</f>
        <v>12.98</v>
      </c>
      <c r="F26" s="17" t="n">
        <f aca="false">RANK(E26,$E$3:$E$63)</f>
        <v>8</v>
      </c>
      <c r="G26" s="34" t="n">
        <f aca="false">($J$2*J26+$K$2*K26+$L$2*L26+$M$2*M26+$N$2*N26+$O$2*O26)/$G$2</f>
        <v>12.8</v>
      </c>
      <c r="H26" s="34" t="n">
        <f aca="false">($P$2*P26+$Q$2*Q26+$R$2*R26+$S$2*S26+$T$2*T26+$U$2*U26)/$H$2</f>
        <v>12.7666666666667</v>
      </c>
      <c r="I26" s="34" t="n">
        <f aca="false">($V$2*V26+$W$2*W26+$X$2*X26)/$I$2</f>
        <v>13.7666666666667</v>
      </c>
      <c r="J26" s="34" t="n">
        <f aca="false">SE3!E26</f>
        <v>17.7</v>
      </c>
      <c r="K26" s="34" t="n">
        <f aca="false">RX2!E26</f>
        <v>17.1</v>
      </c>
      <c r="L26" s="31" t="n">
        <f aca="false">RANDBETWEEN(30,180)/10</f>
        <v>11.4</v>
      </c>
      <c r="M26" s="31" t="n">
        <f aca="false">RANDBETWEEN(30,180)/10</f>
        <v>6.8</v>
      </c>
      <c r="N26" s="31" t="n">
        <f aca="false">RANDBETWEEN(30,180)/10</f>
        <v>16.6</v>
      </c>
      <c r="O26" s="31" t="n">
        <f aca="false">RANDBETWEEN(30,180)/10</f>
        <v>5.4</v>
      </c>
      <c r="P26" s="31" t="n">
        <f aca="false">RANDBETWEEN(30,180)/10</f>
        <v>14.5</v>
      </c>
      <c r="Q26" s="31" t="n">
        <f aca="false">RANDBETWEEN(50,200)/10</f>
        <v>5</v>
      </c>
      <c r="R26" s="31" t="n">
        <f aca="false">RANDBETWEEN(50,200)/10</f>
        <v>14.5</v>
      </c>
      <c r="S26" s="31" t="n">
        <f aca="false">RANDBETWEEN(50,200)/10</f>
        <v>13.2</v>
      </c>
      <c r="T26" s="31" t="n">
        <f aca="false">RANDBETWEEN(50,200)/10</f>
        <v>10.8</v>
      </c>
      <c r="U26" s="31" t="n">
        <f aca="false">RANDBETWEEN(50,200)/10</f>
        <v>15.4</v>
      </c>
      <c r="V26" s="31" t="n">
        <f aca="false">RANDBETWEEN(50,200)/10</f>
        <v>10.8</v>
      </c>
      <c r="W26" s="31" t="n">
        <f aca="false">RANDBETWEEN(50,200)/10</f>
        <v>17.6</v>
      </c>
      <c r="X26" s="31" t="n">
        <f aca="false">RANDBETWEEN(50,200)/10</f>
        <v>15</v>
      </c>
      <c r="Y26" s="34"/>
      <c r="Z26" s="12" t="s">
        <v>101</v>
      </c>
      <c r="ALW26" s="0"/>
      <c r="ALX26" s="0"/>
      <c r="ALY26" s="0"/>
      <c r="ALZ26" s="0"/>
      <c r="AMA26" s="0"/>
      <c r="AMB26" s="0"/>
      <c r="AMC26" s="0"/>
      <c r="AMD26" s="0"/>
      <c r="AME26" s="0"/>
      <c r="AMF26" s="0"/>
      <c r="AMG26" s="0"/>
      <c r="AMH26" s="0"/>
      <c r="AMI26" s="0"/>
      <c r="AMJ26" s="0"/>
    </row>
    <row r="27" s="35" customFormat="true" ht="13.8" hidden="false" customHeight="false" outlineLevel="0" collapsed="false">
      <c r="A27" s="17" t="str">
        <f aca="false">Liste!A27</f>
        <v>20150950</v>
      </c>
      <c r="B27" s="33" t="str">
        <f aca="false">Liste!B27</f>
        <v>LE FOLL</v>
      </c>
      <c r="C27" s="33" t="str">
        <f aca="false">Liste!C27</f>
        <v>Coralie</v>
      </c>
      <c r="D27" s="17" t="str">
        <f aca="false">Liste!D27</f>
        <v>2-A</v>
      </c>
      <c r="E27" s="34" t="n">
        <f aca="false">($G$2*G27+$H$2*H27+$I$2*I27)/$E$2*(1+Y27/200)</f>
        <v>12.9266666666667</v>
      </c>
      <c r="F27" s="17" t="n">
        <f aca="false">RANK(E27,$E$3:$E$63)</f>
        <v>10</v>
      </c>
      <c r="G27" s="34" t="n">
        <f aca="false">($J$2*J27+$K$2*K27+$L$2*L27+$M$2*M27+$N$2*N27+$O$2*O27)/$G$2</f>
        <v>13.325</v>
      </c>
      <c r="H27" s="34" t="n">
        <f aca="false">($P$2*P27+$Q$2*Q27+$R$2*R27+$S$2*S27+$T$2*T27+$U$2*U27)/$H$2</f>
        <v>13.4333333333333</v>
      </c>
      <c r="I27" s="34" t="n">
        <f aca="false">($V$2*V27+$W$2*W27+$X$2*X27)/$I$2</f>
        <v>11.1166666666667</v>
      </c>
      <c r="J27" s="34" t="n">
        <f aca="false">SE3!E27</f>
        <v>11.6</v>
      </c>
      <c r="K27" s="34" t="n">
        <f aca="false">RX2!E27</f>
        <v>18</v>
      </c>
      <c r="L27" s="31" t="n">
        <f aca="false">RANDBETWEEN(30,180)/10</f>
        <v>14.6</v>
      </c>
      <c r="M27" s="31" t="n">
        <f aca="false">RANDBETWEEN(30,180)/10</f>
        <v>11.9</v>
      </c>
      <c r="N27" s="31" t="n">
        <f aca="false">RANDBETWEEN(30,180)/10</f>
        <v>15.5</v>
      </c>
      <c r="O27" s="31" t="n">
        <f aca="false">RANDBETWEEN(30,180)/10</f>
        <v>9</v>
      </c>
      <c r="P27" s="31" t="n">
        <f aca="false">RANDBETWEEN(30,180)/10</f>
        <v>7.9</v>
      </c>
      <c r="Q27" s="31" t="n">
        <f aca="false">RANDBETWEEN(50,200)/10</f>
        <v>19.4</v>
      </c>
      <c r="R27" s="31" t="n">
        <f aca="false">RANDBETWEEN(50,200)/10</f>
        <v>10</v>
      </c>
      <c r="S27" s="31" t="n">
        <f aca="false">RANDBETWEEN(50,200)/10</f>
        <v>8.2</v>
      </c>
      <c r="T27" s="31" t="n">
        <f aca="false">RANDBETWEEN(50,200)/10</f>
        <v>19.9</v>
      </c>
      <c r="U27" s="31" t="n">
        <f aca="false">RANDBETWEEN(50,200)/10</f>
        <v>18.8</v>
      </c>
      <c r="V27" s="31" t="n">
        <f aca="false">RANDBETWEEN(50,200)/10</f>
        <v>9.3</v>
      </c>
      <c r="W27" s="31" t="n">
        <f aca="false">RANDBETWEEN(50,200)/10</f>
        <v>12</v>
      </c>
      <c r="X27" s="31" t="n">
        <f aca="false">RANDBETWEEN(50,200)/10</f>
        <v>14.8</v>
      </c>
      <c r="Y27" s="34"/>
      <c r="Z27" s="10" t="s">
        <v>105</v>
      </c>
      <c r="ALW27" s="0"/>
      <c r="ALX27" s="0"/>
      <c r="ALY27" s="0"/>
      <c r="ALZ27" s="0"/>
      <c r="AMA27" s="0"/>
      <c r="AMB27" s="0"/>
      <c r="AMC27" s="0"/>
      <c r="AMD27" s="0"/>
      <c r="AME27" s="0"/>
      <c r="AMF27" s="0"/>
      <c r="AMG27" s="0"/>
      <c r="AMH27" s="0"/>
      <c r="AMI27" s="0"/>
      <c r="AMJ27" s="0"/>
    </row>
    <row r="28" s="35" customFormat="true" ht="13.8" hidden="false" customHeight="false" outlineLevel="0" collapsed="false">
      <c r="A28" s="17" t="str">
        <f aca="false">Liste!A28</f>
        <v>20150951</v>
      </c>
      <c r="B28" s="33" t="str">
        <f aca="false">Liste!B28</f>
        <v>LECHA</v>
      </c>
      <c r="C28" s="33" t="str">
        <f aca="false">Liste!C28</f>
        <v>Benjamin</v>
      </c>
      <c r="D28" s="17" t="str">
        <f aca="false">Liste!D28</f>
        <v>2-C</v>
      </c>
      <c r="E28" s="34" t="n">
        <f aca="false">($G$2*G28+$H$2*H28+$I$2*I28)/$E$2*(1+Y28/200)</f>
        <v>12.445</v>
      </c>
      <c r="F28" s="17" t="n">
        <f aca="false">RANK(E28,$E$3:$E$63)</f>
        <v>18</v>
      </c>
      <c r="G28" s="34" t="n">
        <f aca="false">($J$2*J28+$K$2*K28+$L$2*L28+$M$2*M28+$N$2*N28+$O$2*O28)/$G$2</f>
        <v>13.4833333333333</v>
      </c>
      <c r="H28" s="34" t="n">
        <f aca="false">($P$2*P28+$Q$2*Q28+$R$2*R28+$S$2*S28+$T$2*T28+$U$2*U28)/$H$2</f>
        <v>11.9208333333333</v>
      </c>
      <c r="I28" s="34" t="n">
        <f aca="false">($V$2*V28+$W$2*W28+$X$2*X28)/$I$2</f>
        <v>11.4166666666667</v>
      </c>
      <c r="J28" s="34" t="n">
        <f aca="false">SE3!E28</f>
        <v>19.6</v>
      </c>
      <c r="K28" s="34" t="n">
        <f aca="false">RX2!E28</f>
        <v>5.9</v>
      </c>
      <c r="L28" s="31" t="n">
        <f aca="false">RANDBETWEEN(30,180)/10</f>
        <v>13.5</v>
      </c>
      <c r="M28" s="31" t="n">
        <f aca="false">RANDBETWEEN(30,180)/10</f>
        <v>16.2</v>
      </c>
      <c r="N28" s="31" t="n">
        <f aca="false">RANDBETWEEN(30,180)/10</f>
        <v>11.7</v>
      </c>
      <c r="O28" s="31" t="n">
        <f aca="false">RANDBETWEEN(30,180)/10</f>
        <v>9.3</v>
      </c>
      <c r="P28" s="31" t="n">
        <f aca="false">RANDBETWEEN(30,180)/10</f>
        <v>10.5</v>
      </c>
      <c r="Q28" s="31" t="n">
        <f aca="false">RANDBETWEEN(50,200)/10</f>
        <v>8.3</v>
      </c>
      <c r="R28" s="31" t="n">
        <f aca="false">RANDBETWEEN(50,200)/10</f>
        <v>18</v>
      </c>
      <c r="S28" s="31" t="n">
        <f aca="false">RANDBETWEEN(50,200)/10</f>
        <v>5.2</v>
      </c>
      <c r="T28" s="31" t="n">
        <f aca="false">RANDBETWEEN(50,200)/10</f>
        <v>10.4</v>
      </c>
      <c r="U28" s="31" t="n">
        <f aca="false">RANDBETWEEN(50,200)/10</f>
        <v>19.5</v>
      </c>
      <c r="V28" s="31" t="n">
        <f aca="false">RANDBETWEEN(50,200)/10</f>
        <v>12.9</v>
      </c>
      <c r="W28" s="31" t="n">
        <f aca="false">RANDBETWEEN(50,200)/10</f>
        <v>12.1</v>
      </c>
      <c r="X28" s="31" t="n">
        <f aca="false">RANDBETWEEN(50,200)/10</f>
        <v>5.6</v>
      </c>
      <c r="Y28" s="34"/>
      <c r="Z28" s="10" t="s">
        <v>109</v>
      </c>
      <c r="ALW28" s="0"/>
      <c r="ALX28" s="0"/>
      <c r="ALY28" s="0"/>
      <c r="ALZ28" s="0"/>
      <c r="AMA28" s="0"/>
      <c r="AMB28" s="0"/>
      <c r="AMC28" s="0"/>
      <c r="AMD28" s="0"/>
      <c r="AME28" s="0"/>
      <c r="AMF28" s="0"/>
      <c r="AMG28" s="0"/>
      <c r="AMH28" s="0"/>
      <c r="AMI28" s="0"/>
      <c r="AMJ28" s="0"/>
    </row>
    <row r="29" s="35" customFormat="true" ht="13.8" hidden="false" customHeight="false" outlineLevel="0" collapsed="false">
      <c r="A29" s="17" t="str">
        <f aca="false">Liste!A29</f>
        <v>20150952</v>
      </c>
      <c r="B29" s="33" t="str">
        <f aca="false">Liste!B29</f>
        <v>LEFAIT</v>
      </c>
      <c r="C29" s="33" t="str">
        <f aca="false">Liste!C29</f>
        <v>Romain</v>
      </c>
      <c r="D29" s="17" t="str">
        <f aca="false">Liste!D29</f>
        <v>2-B</v>
      </c>
      <c r="E29" s="34" t="n">
        <f aca="false">($G$2*G29+$H$2*H29+$I$2*I29)/$E$2*(1+Y29/200)</f>
        <v>10.61</v>
      </c>
      <c r="F29" s="17" t="n">
        <f aca="false">RANK(E29,$E$3:$E$63)</f>
        <v>51</v>
      </c>
      <c r="G29" s="34" t="n">
        <f aca="false">($J$2*J29+$K$2*K29+$L$2*L29+$M$2*M29+$N$2*N29+$O$2*O29)/$G$2</f>
        <v>10.2458333333333</v>
      </c>
      <c r="H29" s="34" t="n">
        <f aca="false">($P$2*P29+$Q$2*Q29+$R$2*R29+$S$2*S29+$T$2*T29+$U$2*U29)/$H$2</f>
        <v>9.57916666666667</v>
      </c>
      <c r="I29" s="34" t="n">
        <f aca="false">($V$2*V29+$W$2*W29+$X$2*X29)/$I$2</f>
        <v>13.4</v>
      </c>
      <c r="J29" s="34" t="n">
        <f aca="false">SE3!E29</f>
        <v>19.3</v>
      </c>
      <c r="K29" s="34" t="n">
        <f aca="false">RX2!E29</f>
        <v>7.2</v>
      </c>
      <c r="L29" s="31" t="n">
        <f aca="false">RANDBETWEEN(30,180)/10</f>
        <v>11.4</v>
      </c>
      <c r="M29" s="31" t="n">
        <f aca="false">RANDBETWEEN(30,180)/10</f>
        <v>6.3</v>
      </c>
      <c r="N29" s="31" t="n">
        <f aca="false">RANDBETWEEN(30,180)/10</f>
        <v>3</v>
      </c>
      <c r="O29" s="31" t="n">
        <f aca="false">RANDBETWEEN(30,180)/10</f>
        <v>15.7</v>
      </c>
      <c r="P29" s="31" t="n">
        <f aca="false">RANDBETWEEN(30,180)/10</f>
        <v>3</v>
      </c>
      <c r="Q29" s="31" t="n">
        <f aca="false">RANDBETWEEN(50,200)/10</f>
        <v>9.1</v>
      </c>
      <c r="R29" s="31" t="n">
        <f aca="false">RANDBETWEEN(50,200)/10</f>
        <v>8</v>
      </c>
      <c r="S29" s="31" t="n">
        <f aca="false">RANDBETWEEN(50,200)/10</f>
        <v>7.6</v>
      </c>
      <c r="T29" s="31" t="n">
        <f aca="false">RANDBETWEEN(50,200)/10</f>
        <v>19.2</v>
      </c>
      <c r="U29" s="31" t="n">
        <f aca="false">RANDBETWEEN(50,200)/10</f>
        <v>13.6</v>
      </c>
      <c r="V29" s="31" t="n">
        <f aca="false">RANDBETWEEN(50,200)/10</f>
        <v>11.4</v>
      </c>
      <c r="W29" s="31" t="n">
        <f aca="false">RANDBETWEEN(50,200)/10</f>
        <v>18.3</v>
      </c>
      <c r="X29" s="31" t="n">
        <f aca="false">RANDBETWEEN(50,200)/10</f>
        <v>9.6</v>
      </c>
      <c r="Y29" s="34"/>
      <c r="Z29" s="12" t="s">
        <v>111</v>
      </c>
      <c r="ALW29" s="0"/>
      <c r="ALX29" s="0"/>
      <c r="ALY29" s="0"/>
      <c r="ALZ29" s="0"/>
      <c r="AMA29" s="0"/>
      <c r="AMB29" s="0"/>
      <c r="AMC29" s="0"/>
      <c r="AMD29" s="0"/>
      <c r="AME29" s="0"/>
      <c r="AMF29" s="0"/>
      <c r="AMG29" s="0"/>
      <c r="AMH29" s="0"/>
      <c r="AMI29" s="0"/>
      <c r="AMJ29" s="0"/>
    </row>
    <row r="30" s="35" customFormat="true" ht="13.8" hidden="false" customHeight="false" outlineLevel="0" collapsed="false">
      <c r="A30" s="17" t="str">
        <f aca="false">Liste!A30</f>
        <v>20150953</v>
      </c>
      <c r="B30" s="33" t="str">
        <f aca="false">Liste!B30</f>
        <v>LEFEBVRE</v>
      </c>
      <c r="C30" s="33" t="str">
        <f aca="false">Liste!C30</f>
        <v>Jéremy</v>
      </c>
      <c r="D30" s="17" t="str">
        <f aca="false">Liste!D30</f>
        <v>2-B</v>
      </c>
      <c r="E30" s="34" t="n">
        <f aca="false">($G$2*G30+$H$2*H30+$I$2*I30)/$E$2*(1+Y30/200)</f>
        <v>11.845</v>
      </c>
      <c r="F30" s="17" t="n">
        <f aca="false">RANK(E30,$E$3:$E$63)</f>
        <v>29</v>
      </c>
      <c r="G30" s="34" t="n">
        <f aca="false">($J$2*J30+$K$2*K30+$L$2*L30+$M$2*M30+$N$2*N30+$O$2*O30)/$G$2</f>
        <v>10.1375</v>
      </c>
      <c r="H30" s="34" t="n">
        <f aca="false">($P$2*P30+$Q$2*Q30+$R$2*R30+$S$2*S30+$T$2*T30+$U$2*U30)/$H$2</f>
        <v>15.1416666666667</v>
      </c>
      <c r="I30" s="34" t="n">
        <f aca="false">($V$2*V30+$W$2*W30+$X$2*X30)/$I$2</f>
        <v>8.66666666666667</v>
      </c>
      <c r="J30" s="34" t="n">
        <f aca="false">SE3!E30</f>
        <v>15.7</v>
      </c>
      <c r="K30" s="34" t="n">
        <f aca="false">RX2!E30</f>
        <v>10.6</v>
      </c>
      <c r="L30" s="31" t="n">
        <f aca="false">RANDBETWEEN(30,180)/10</f>
        <v>5.7</v>
      </c>
      <c r="M30" s="31" t="n">
        <f aca="false">RANDBETWEEN(30,180)/10</f>
        <v>3.9</v>
      </c>
      <c r="N30" s="31" t="n">
        <f aca="false">RANDBETWEEN(30,180)/10</f>
        <v>13.1</v>
      </c>
      <c r="O30" s="31" t="n">
        <f aca="false">RANDBETWEEN(30,180)/10</f>
        <v>10.3</v>
      </c>
      <c r="P30" s="31" t="n">
        <f aca="false">RANDBETWEEN(30,180)/10</f>
        <v>13.1</v>
      </c>
      <c r="Q30" s="31" t="n">
        <f aca="false">RANDBETWEEN(50,200)/10</f>
        <v>19.4</v>
      </c>
      <c r="R30" s="31" t="n">
        <f aca="false">RANDBETWEEN(50,200)/10</f>
        <v>14.1</v>
      </c>
      <c r="S30" s="31" t="n">
        <f aca="false">RANDBETWEEN(50,200)/10</f>
        <v>11.8</v>
      </c>
      <c r="T30" s="31" t="n">
        <f aca="false">RANDBETWEEN(50,200)/10</f>
        <v>15.3</v>
      </c>
      <c r="U30" s="31" t="n">
        <f aca="false">RANDBETWEEN(50,200)/10</f>
        <v>18.5</v>
      </c>
      <c r="V30" s="31" t="n">
        <f aca="false">RANDBETWEEN(50,200)/10</f>
        <v>6.7</v>
      </c>
      <c r="W30" s="31" t="n">
        <f aca="false">RANDBETWEEN(50,200)/10</f>
        <v>10.5</v>
      </c>
      <c r="X30" s="31" t="n">
        <f aca="false">RANDBETWEEN(50,200)/10</f>
        <v>10.9</v>
      </c>
      <c r="Y30" s="34"/>
      <c r="Z30" s="12" t="s">
        <v>115</v>
      </c>
      <c r="ALW30" s="0"/>
      <c r="ALX30" s="0"/>
      <c r="ALY30" s="0"/>
      <c r="ALZ30" s="0"/>
      <c r="AMA30" s="0"/>
      <c r="AMB30" s="0"/>
      <c r="AMC30" s="0"/>
      <c r="AMD30" s="0"/>
      <c r="AME30" s="0"/>
      <c r="AMF30" s="0"/>
      <c r="AMG30" s="0"/>
      <c r="AMH30" s="0"/>
      <c r="AMI30" s="0"/>
      <c r="AMJ30" s="0"/>
    </row>
    <row r="31" s="35" customFormat="true" ht="13.8" hidden="false" customHeight="false" outlineLevel="0" collapsed="false">
      <c r="A31" s="17" t="str">
        <f aca="false">Liste!A31</f>
        <v>20150954</v>
      </c>
      <c r="B31" s="33" t="str">
        <f aca="false">Liste!B31</f>
        <v>LEFEBVRE</v>
      </c>
      <c r="C31" s="33" t="str">
        <f aca="false">Liste!C31</f>
        <v>Kévin</v>
      </c>
      <c r="D31" s="17" t="str">
        <f aca="false">Liste!D31</f>
        <v>2-A</v>
      </c>
      <c r="E31" s="34" t="n">
        <f aca="false">($G$2*G31+$H$2*H31+$I$2*I31)/$E$2*(1+Y31/200)</f>
        <v>12.5783333333333</v>
      </c>
      <c r="F31" s="17" t="n">
        <f aca="false">RANK(E31,$E$3:$E$63)</f>
        <v>15</v>
      </c>
      <c r="G31" s="34" t="n">
        <f aca="false">($J$2*J31+$K$2*K31+$L$2*L31+$M$2*M31+$N$2*N31+$O$2*O31)/$G$2</f>
        <v>13.4041666666667</v>
      </c>
      <c r="H31" s="34" t="n">
        <f aca="false">($P$2*P31+$Q$2*Q31+$R$2*R31+$S$2*S31+$T$2*T31+$U$2*U31)/$H$2</f>
        <v>11.3333333333333</v>
      </c>
      <c r="I31" s="34" t="n">
        <f aca="false">($V$2*V31+$W$2*W31+$X$2*X31)/$I$2</f>
        <v>13.4166666666667</v>
      </c>
      <c r="J31" s="34" t="n">
        <f aca="false">SE3!E31</f>
        <v>18.5</v>
      </c>
      <c r="K31" s="34" t="n">
        <f aca="false">RX2!E31</f>
        <v>12.8</v>
      </c>
      <c r="L31" s="31" t="n">
        <f aca="false">RANDBETWEEN(30,180)/10</f>
        <v>5.8</v>
      </c>
      <c r="M31" s="31" t="n">
        <f aca="false">RANDBETWEEN(30,180)/10</f>
        <v>12</v>
      </c>
      <c r="N31" s="31" t="n">
        <f aca="false">RANDBETWEEN(30,180)/10</f>
        <v>12.9</v>
      </c>
      <c r="O31" s="31" t="n">
        <f aca="false">RANDBETWEEN(30,180)/10</f>
        <v>16.3</v>
      </c>
      <c r="P31" s="31" t="n">
        <f aca="false">RANDBETWEEN(30,180)/10</f>
        <v>17.1</v>
      </c>
      <c r="Q31" s="31" t="n">
        <f aca="false">RANDBETWEEN(50,200)/10</f>
        <v>5.8</v>
      </c>
      <c r="R31" s="31" t="n">
        <f aca="false">RANDBETWEEN(50,200)/10</f>
        <v>15.4</v>
      </c>
      <c r="S31" s="31" t="n">
        <f aca="false">RANDBETWEEN(50,200)/10</f>
        <v>7.4</v>
      </c>
      <c r="T31" s="31" t="n">
        <f aca="false">RANDBETWEEN(50,200)/10</f>
        <v>11.3</v>
      </c>
      <c r="U31" s="31" t="n">
        <f aca="false">RANDBETWEEN(50,200)/10</f>
        <v>10.4</v>
      </c>
      <c r="V31" s="31" t="n">
        <f aca="false">RANDBETWEEN(50,200)/10</f>
        <v>9.7</v>
      </c>
      <c r="W31" s="31" t="n">
        <f aca="false">RANDBETWEEN(50,200)/10</f>
        <v>16.5</v>
      </c>
      <c r="X31" s="31" t="n">
        <f aca="false">RANDBETWEEN(50,200)/10</f>
        <v>18.4</v>
      </c>
      <c r="Y31" s="34"/>
      <c r="Z31" s="10" t="s">
        <v>115</v>
      </c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  <c r="AMI31" s="0"/>
      <c r="AMJ31" s="0"/>
    </row>
    <row r="32" s="35" customFormat="true" ht="13.8" hidden="false" customHeight="false" outlineLevel="0" collapsed="false">
      <c r="A32" s="17" t="str">
        <f aca="false">Liste!A32</f>
        <v>20150955</v>
      </c>
      <c r="B32" s="33" t="str">
        <f aca="false">Liste!B32</f>
        <v>LEGRAND</v>
      </c>
      <c r="C32" s="33" t="str">
        <f aca="false">Liste!C32</f>
        <v>Baptiste</v>
      </c>
      <c r="D32" s="17" t="str">
        <f aca="false">Liste!D32</f>
        <v>2-C</v>
      </c>
      <c r="E32" s="34" t="n">
        <f aca="false">($G$2*G32+$H$2*H32+$I$2*I32)/$E$2*(1+Y32/200)</f>
        <v>11.0733333333333</v>
      </c>
      <c r="F32" s="17" t="n">
        <f aca="false">RANK(E32,$E$3:$E$63)</f>
        <v>41</v>
      </c>
      <c r="G32" s="34" t="n">
        <f aca="false">($J$2*J32+$K$2*K32+$L$2*L32+$M$2*M32+$N$2*N32+$O$2*O32)/$G$2</f>
        <v>11.7208333333333</v>
      </c>
      <c r="H32" s="34" t="n">
        <f aca="false">($P$2*P32+$Q$2*Q32+$R$2*R32+$S$2*S32+$T$2*T32+$U$2*U32)/$H$2</f>
        <v>11.3541666666667</v>
      </c>
      <c r="I32" s="34" t="n">
        <f aca="false">($V$2*V32+$W$2*W32+$X$2*X32)/$I$2</f>
        <v>9.21666666666667</v>
      </c>
      <c r="J32" s="34" t="n">
        <f aca="false">SE3!E32</f>
        <v>7.5</v>
      </c>
      <c r="K32" s="34" t="n">
        <f aca="false">RX2!E32</f>
        <v>18.7</v>
      </c>
      <c r="L32" s="31" t="n">
        <f aca="false">RANDBETWEEN(30,180)/10</f>
        <v>15.7</v>
      </c>
      <c r="M32" s="31" t="n">
        <f aca="false">RANDBETWEEN(30,180)/10</f>
        <v>12.2</v>
      </c>
      <c r="N32" s="31" t="n">
        <f aca="false">RANDBETWEEN(30,180)/10</f>
        <v>12.5</v>
      </c>
      <c r="O32" s="31" t="n">
        <f aca="false">RANDBETWEEN(30,180)/10</f>
        <v>5.7</v>
      </c>
      <c r="P32" s="31" t="n">
        <f aca="false">RANDBETWEEN(30,180)/10</f>
        <v>7.8</v>
      </c>
      <c r="Q32" s="31" t="n">
        <f aca="false">RANDBETWEEN(50,200)/10</f>
        <v>18.4</v>
      </c>
      <c r="R32" s="31" t="n">
        <f aca="false">RANDBETWEEN(50,200)/10</f>
        <v>10.8</v>
      </c>
      <c r="S32" s="31" t="n">
        <f aca="false">RANDBETWEEN(50,200)/10</f>
        <v>13.6</v>
      </c>
      <c r="T32" s="31" t="n">
        <f aca="false">RANDBETWEEN(50,200)/10</f>
        <v>10.8</v>
      </c>
      <c r="U32" s="31" t="n">
        <f aca="false">RANDBETWEEN(50,200)/10</f>
        <v>9.1</v>
      </c>
      <c r="V32" s="31" t="n">
        <f aca="false">RANDBETWEEN(50,200)/10</f>
        <v>5.2</v>
      </c>
      <c r="W32" s="31" t="n">
        <f aca="false">RANDBETWEEN(50,200)/10</f>
        <v>13</v>
      </c>
      <c r="X32" s="31" t="n">
        <f aca="false">RANDBETWEEN(50,200)/10</f>
        <v>13.7</v>
      </c>
      <c r="Y32" s="34"/>
      <c r="Z32" s="10" t="s">
        <v>119</v>
      </c>
      <c r="ALW32" s="0"/>
      <c r="ALX32" s="0"/>
      <c r="ALY32" s="0"/>
      <c r="ALZ32" s="0"/>
      <c r="AMA32" s="0"/>
      <c r="AMB32" s="0"/>
      <c r="AMC32" s="0"/>
      <c r="AMD32" s="0"/>
      <c r="AME32" s="0"/>
      <c r="AMF32" s="0"/>
      <c r="AMG32" s="0"/>
      <c r="AMH32" s="0"/>
      <c r="AMI32" s="0"/>
      <c r="AMJ32" s="0"/>
    </row>
    <row r="33" s="35" customFormat="true" ht="13.8" hidden="false" customHeight="false" outlineLevel="0" collapsed="false">
      <c r="A33" s="17" t="str">
        <f aca="false">Liste!A33</f>
        <v>20150956</v>
      </c>
      <c r="B33" s="33" t="str">
        <f aca="false">Liste!B33</f>
        <v>LEGRU</v>
      </c>
      <c r="C33" s="33" t="str">
        <f aca="false">Liste!C33</f>
        <v>Florent</v>
      </c>
      <c r="D33" s="17" t="str">
        <f aca="false">Liste!D33</f>
        <v>2-B</v>
      </c>
      <c r="E33" s="34" t="n">
        <f aca="false">($G$2*G33+$H$2*H33+$I$2*I33)/$E$2*(1+Y33/200)</f>
        <v>12.8966666666667</v>
      </c>
      <c r="F33" s="17" t="n">
        <f aca="false">RANK(E33,$E$3:$E$63)</f>
        <v>11</v>
      </c>
      <c r="G33" s="34" t="n">
        <f aca="false">($J$2*J33+$K$2*K33+$L$2*L33+$M$2*M33+$N$2*N33+$O$2*O33)/$G$2</f>
        <v>14.4541666666667</v>
      </c>
      <c r="H33" s="34" t="n">
        <f aca="false">($P$2*P33+$Q$2*Q33+$R$2*R33+$S$2*S33+$T$2*T33+$U$2*U33)/$H$2</f>
        <v>12.3541666666667</v>
      </c>
      <c r="I33" s="34" t="n">
        <f aca="false">($V$2*V33+$W$2*W33+$X$2*X33)/$I$2</f>
        <v>10.8666666666667</v>
      </c>
      <c r="J33" s="34" t="n">
        <f aca="false">SE3!E33</f>
        <v>16.9</v>
      </c>
      <c r="K33" s="34" t="n">
        <f aca="false">RX2!E33</f>
        <v>13</v>
      </c>
      <c r="L33" s="31" t="n">
        <f aca="false">RANDBETWEEN(30,180)/10</f>
        <v>5.7</v>
      </c>
      <c r="M33" s="31" t="n">
        <f aca="false">RANDBETWEEN(30,180)/10</f>
        <v>13.8</v>
      </c>
      <c r="N33" s="31" t="n">
        <f aca="false">RANDBETWEEN(30,180)/10</f>
        <v>17.2</v>
      </c>
      <c r="O33" s="31" t="n">
        <f aca="false">RANDBETWEEN(30,180)/10</f>
        <v>17.1</v>
      </c>
      <c r="P33" s="31" t="n">
        <f aca="false">RANDBETWEEN(30,180)/10</f>
        <v>11.7</v>
      </c>
      <c r="Q33" s="31" t="n">
        <f aca="false">RANDBETWEEN(50,200)/10</f>
        <v>6.5</v>
      </c>
      <c r="R33" s="31" t="n">
        <f aca="false">RANDBETWEEN(50,200)/10</f>
        <v>6.8</v>
      </c>
      <c r="S33" s="31" t="n">
        <f aca="false">RANDBETWEEN(50,200)/10</f>
        <v>18.8</v>
      </c>
      <c r="T33" s="31" t="n">
        <f aca="false">RANDBETWEEN(50,200)/10</f>
        <v>13.7</v>
      </c>
      <c r="U33" s="31" t="n">
        <f aca="false">RANDBETWEEN(50,200)/10</f>
        <v>12.6</v>
      </c>
      <c r="V33" s="31" t="n">
        <f aca="false">RANDBETWEEN(50,200)/10</f>
        <v>10.4</v>
      </c>
      <c r="W33" s="31" t="n">
        <f aca="false">RANDBETWEEN(50,200)/10</f>
        <v>7.6</v>
      </c>
      <c r="X33" s="31" t="n">
        <f aca="false">RANDBETWEEN(50,200)/10</f>
        <v>18.8</v>
      </c>
      <c r="Y33" s="34"/>
      <c r="Z33" s="12" t="s">
        <v>122</v>
      </c>
      <c r="ALW33" s="0"/>
      <c r="ALX33" s="0"/>
      <c r="ALY33" s="0"/>
      <c r="ALZ33" s="0"/>
      <c r="AMA33" s="0"/>
      <c r="AMB33" s="0"/>
      <c r="AMC33" s="0"/>
      <c r="AMD33" s="0"/>
      <c r="AME33" s="0"/>
      <c r="AMF33" s="0"/>
      <c r="AMG33" s="0"/>
      <c r="AMH33" s="0"/>
      <c r="AMI33" s="0"/>
      <c r="AMJ33" s="0"/>
    </row>
    <row r="34" s="35" customFormat="true" ht="13.8" hidden="false" customHeight="false" outlineLevel="0" collapsed="false">
      <c r="A34" s="17" t="str">
        <f aca="false">Liste!A34</f>
        <v>20150957</v>
      </c>
      <c r="B34" s="33" t="str">
        <f aca="false">Liste!B34</f>
        <v>LEMAITRE</v>
      </c>
      <c r="C34" s="33" t="str">
        <f aca="false">Liste!C34</f>
        <v>Valentin</v>
      </c>
      <c r="D34" s="17" t="str">
        <f aca="false">Liste!D34</f>
        <v>2-C</v>
      </c>
      <c r="E34" s="34" t="n">
        <f aca="false">($G$2*G34+$H$2*H34+$I$2*I34)/$E$2*(1+Y34/200)</f>
        <v>13.2816666666667</v>
      </c>
      <c r="F34" s="17" t="n">
        <f aca="false">RANK(E34,$E$3:$E$63)</f>
        <v>5</v>
      </c>
      <c r="G34" s="34" t="n">
        <f aca="false">($J$2*J34+$K$2*K34+$L$2*L34+$M$2*M34+$N$2*N34+$O$2*O34)/$G$2</f>
        <v>10.8583333333333</v>
      </c>
      <c r="H34" s="34" t="n">
        <f aca="false">($P$2*P34+$Q$2*Q34+$R$2*R34+$S$2*S34+$T$2*T34+$U$2*U34)/$H$2</f>
        <v>13.5041666666667</v>
      </c>
      <c r="I34" s="34" t="n">
        <f aca="false">($V$2*V34+$W$2*W34+$X$2*X34)/$I$2</f>
        <v>17.6833333333333</v>
      </c>
      <c r="J34" s="34" t="n">
        <f aca="false">SE3!E34</f>
        <v>7.9</v>
      </c>
      <c r="K34" s="34" t="n">
        <f aca="false">RX2!E34</f>
        <v>14.5</v>
      </c>
      <c r="L34" s="31" t="n">
        <f aca="false">RANDBETWEEN(30,180)/10</f>
        <v>13.6</v>
      </c>
      <c r="M34" s="31" t="n">
        <f aca="false">RANDBETWEEN(30,180)/10</f>
        <v>3.5</v>
      </c>
      <c r="N34" s="31" t="n">
        <f aca="false">RANDBETWEEN(30,180)/10</f>
        <v>16</v>
      </c>
      <c r="O34" s="31" t="n">
        <f aca="false">RANDBETWEEN(30,180)/10</f>
        <v>13.1</v>
      </c>
      <c r="P34" s="31" t="n">
        <f aca="false">RANDBETWEEN(30,180)/10</f>
        <v>10.3</v>
      </c>
      <c r="Q34" s="31" t="n">
        <f aca="false">RANDBETWEEN(50,200)/10</f>
        <v>14.2</v>
      </c>
      <c r="R34" s="31" t="n">
        <f aca="false">RANDBETWEEN(50,200)/10</f>
        <v>13.7</v>
      </c>
      <c r="S34" s="31" t="n">
        <f aca="false">RANDBETWEEN(50,200)/10</f>
        <v>15.7</v>
      </c>
      <c r="T34" s="31" t="n">
        <f aca="false">RANDBETWEEN(50,200)/10</f>
        <v>18.8</v>
      </c>
      <c r="U34" s="31" t="n">
        <f aca="false">RANDBETWEEN(50,200)/10</f>
        <v>10.8</v>
      </c>
      <c r="V34" s="31" t="n">
        <f aca="false">RANDBETWEEN(50,200)/10</f>
        <v>18.9</v>
      </c>
      <c r="W34" s="31" t="n">
        <f aca="false">RANDBETWEEN(50,200)/10</f>
        <v>17</v>
      </c>
      <c r="X34" s="31" t="n">
        <f aca="false">RANDBETWEEN(50,200)/10</f>
        <v>15.4</v>
      </c>
      <c r="Y34" s="34"/>
      <c r="Z34" s="10" t="s">
        <v>125</v>
      </c>
      <c r="ALW34" s="0"/>
      <c r="ALX34" s="0"/>
      <c r="ALY34" s="0"/>
      <c r="ALZ34" s="0"/>
      <c r="AMA34" s="0"/>
      <c r="AMB34" s="0"/>
      <c r="AMC34" s="0"/>
      <c r="AMD34" s="0"/>
      <c r="AME34" s="0"/>
      <c r="AMF34" s="0"/>
      <c r="AMG34" s="0"/>
      <c r="AMH34" s="0"/>
      <c r="AMI34" s="0"/>
      <c r="AMJ34" s="0"/>
    </row>
    <row r="35" s="35" customFormat="true" ht="13.8" hidden="false" customHeight="false" outlineLevel="0" collapsed="false">
      <c r="A35" s="17" t="str">
        <f aca="false">Liste!A35</f>
        <v>20150958</v>
      </c>
      <c r="B35" s="33" t="str">
        <f aca="false">Liste!B35</f>
        <v>LESAFFRE</v>
      </c>
      <c r="C35" s="33" t="str">
        <f aca="false">Liste!C35</f>
        <v>Romain</v>
      </c>
      <c r="D35" s="17" t="str">
        <f aca="false">Liste!D35</f>
        <v>2-A</v>
      </c>
      <c r="E35" s="34" t="n">
        <f aca="false">($G$2*G35+$H$2*H35+$I$2*I35)/$E$2*(1+Y35/200)</f>
        <v>12.375</v>
      </c>
      <c r="F35" s="17" t="n">
        <f aca="false">RANK(E35,$E$3:$E$63)</f>
        <v>19</v>
      </c>
      <c r="G35" s="34" t="n">
        <f aca="false">($J$2*J35+$K$2*K35+$L$2*L35+$M$2*M35+$N$2*N35+$O$2*O35)/$G$2</f>
        <v>10.4791666666667</v>
      </c>
      <c r="H35" s="34" t="n">
        <f aca="false">($P$2*P35+$Q$2*Q35+$R$2*R35+$S$2*S35+$T$2*T35+$U$2*U35)/$H$2</f>
        <v>14.8333333333333</v>
      </c>
      <c r="I35" s="34" t="n">
        <f aca="false">($V$2*V35+$W$2*W35+$X$2*X35)/$I$2</f>
        <v>11.25</v>
      </c>
      <c r="J35" s="34" t="n">
        <f aca="false">SE3!E35</f>
        <v>11.1</v>
      </c>
      <c r="K35" s="34" t="n">
        <f aca="false">RX2!E35</f>
        <v>5.6</v>
      </c>
      <c r="L35" s="31" t="n">
        <f aca="false">RANDBETWEEN(30,180)/10</f>
        <v>11.8</v>
      </c>
      <c r="M35" s="31" t="n">
        <f aca="false">RANDBETWEEN(30,180)/10</f>
        <v>13</v>
      </c>
      <c r="N35" s="31" t="n">
        <f aca="false">RANDBETWEEN(30,180)/10</f>
        <v>9.1</v>
      </c>
      <c r="O35" s="31" t="n">
        <f aca="false">RANDBETWEEN(30,180)/10</f>
        <v>11.1</v>
      </c>
      <c r="P35" s="31" t="n">
        <f aca="false">RANDBETWEEN(30,180)/10</f>
        <v>17.1</v>
      </c>
      <c r="Q35" s="31" t="n">
        <f aca="false">RANDBETWEEN(50,200)/10</f>
        <v>10.2</v>
      </c>
      <c r="R35" s="31" t="n">
        <f aca="false">RANDBETWEEN(50,200)/10</f>
        <v>15.7</v>
      </c>
      <c r="S35" s="31" t="n">
        <f aca="false">RANDBETWEEN(50,200)/10</f>
        <v>19.8</v>
      </c>
      <c r="T35" s="31" t="n">
        <f aca="false">RANDBETWEEN(50,200)/10</f>
        <v>10.6</v>
      </c>
      <c r="U35" s="31" t="n">
        <f aca="false">RANDBETWEEN(50,200)/10</f>
        <v>12.4</v>
      </c>
      <c r="V35" s="31" t="n">
        <f aca="false">RANDBETWEEN(50,200)/10</f>
        <v>12.2</v>
      </c>
      <c r="W35" s="31" t="n">
        <f aca="false">RANDBETWEEN(50,200)/10</f>
        <v>12</v>
      </c>
      <c r="X35" s="31" t="n">
        <f aca="false">RANDBETWEEN(50,200)/10</f>
        <v>6.9</v>
      </c>
      <c r="Y35" s="34"/>
      <c r="Z35" s="10" t="s">
        <v>130</v>
      </c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  <c r="AMI35" s="0"/>
      <c r="AMJ35" s="0"/>
    </row>
    <row r="36" s="35" customFormat="true" ht="13.8" hidden="false" customHeight="false" outlineLevel="0" collapsed="false">
      <c r="A36" s="17" t="str">
        <f aca="false">Liste!A36</f>
        <v>20150959</v>
      </c>
      <c r="B36" s="33" t="str">
        <f aca="false">Liste!B36</f>
        <v>LETERTRE</v>
      </c>
      <c r="C36" s="33" t="str">
        <f aca="false">Liste!C36</f>
        <v>Florian</v>
      </c>
      <c r="D36" s="17" t="str">
        <f aca="false">Liste!D36</f>
        <v>2-C</v>
      </c>
      <c r="E36" s="34" t="n">
        <f aca="false">($G$2*G36+$H$2*H36+$I$2*I36)/$E$2*(1+Y36/200)</f>
        <v>12.7983333333333</v>
      </c>
      <c r="F36" s="17" t="n">
        <f aca="false">RANK(E36,$E$3:$E$63)</f>
        <v>12</v>
      </c>
      <c r="G36" s="34" t="n">
        <f aca="false">($J$2*J36+$K$2*K36+$L$2*L36+$M$2*M36+$N$2*N36+$O$2*O36)/$G$2</f>
        <v>12.6875</v>
      </c>
      <c r="H36" s="34" t="n">
        <f aca="false">($P$2*P36+$Q$2*Q36+$R$2*R36+$S$2*S36+$T$2*T36+$U$2*U36)/$H$2</f>
        <v>13.1166666666667</v>
      </c>
      <c r="I36" s="34" t="n">
        <f aca="false">($V$2*V36+$W$2*W36+$X$2*X36)/$I$2</f>
        <v>12.3833333333333</v>
      </c>
      <c r="J36" s="34" t="n">
        <f aca="false">SE3!E36</f>
        <v>11.3</v>
      </c>
      <c r="K36" s="34" t="n">
        <f aca="false">RX2!E36</f>
        <v>11.4</v>
      </c>
      <c r="L36" s="31" t="n">
        <f aca="false">RANDBETWEEN(30,180)/10</f>
        <v>14.4</v>
      </c>
      <c r="M36" s="31" t="n">
        <f aca="false">RANDBETWEEN(30,180)/10</f>
        <v>13.5</v>
      </c>
      <c r="N36" s="31" t="n">
        <f aca="false">RANDBETWEEN(30,180)/10</f>
        <v>10.9</v>
      </c>
      <c r="O36" s="31" t="n">
        <f aca="false">RANDBETWEEN(30,180)/10</f>
        <v>16.2</v>
      </c>
      <c r="P36" s="31" t="n">
        <f aca="false">RANDBETWEEN(30,180)/10</f>
        <v>16.7</v>
      </c>
      <c r="Q36" s="31" t="n">
        <f aca="false">RANDBETWEEN(50,200)/10</f>
        <v>8.2</v>
      </c>
      <c r="R36" s="31" t="n">
        <f aca="false">RANDBETWEEN(50,200)/10</f>
        <v>16.1</v>
      </c>
      <c r="S36" s="31" t="n">
        <f aca="false">RANDBETWEEN(50,200)/10</f>
        <v>11.9</v>
      </c>
      <c r="T36" s="31" t="n">
        <f aca="false">RANDBETWEEN(50,200)/10</f>
        <v>6.8</v>
      </c>
      <c r="U36" s="31" t="n">
        <f aca="false">RANDBETWEEN(50,200)/10</f>
        <v>15.7</v>
      </c>
      <c r="V36" s="31" t="n">
        <f aca="false">RANDBETWEEN(50,200)/10</f>
        <v>14.7</v>
      </c>
      <c r="W36" s="31" t="n">
        <f aca="false">RANDBETWEEN(50,200)/10</f>
        <v>10.5</v>
      </c>
      <c r="X36" s="31" t="n">
        <f aca="false">RANDBETWEEN(50,200)/10</f>
        <v>9.2</v>
      </c>
      <c r="Y36" s="34"/>
      <c r="Z36" s="10" t="s">
        <v>133</v>
      </c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</row>
    <row r="37" s="35" customFormat="true" ht="13.8" hidden="false" customHeight="false" outlineLevel="0" collapsed="false">
      <c r="A37" s="17" t="str">
        <f aca="false">Liste!A37</f>
        <v>20150960</v>
      </c>
      <c r="B37" s="33" t="str">
        <f aca="false">Liste!B37</f>
        <v>LONGOUR</v>
      </c>
      <c r="C37" s="33" t="str">
        <f aca="false">Liste!C37</f>
        <v>David</v>
      </c>
      <c r="D37" s="17" t="str">
        <f aca="false">Liste!D37</f>
        <v>2-A</v>
      </c>
      <c r="E37" s="34" t="n">
        <f aca="false">($G$2*G37+$H$2*H37+$I$2*I37)/$E$2*(1+Y37/200)</f>
        <v>12.49</v>
      </c>
      <c r="F37" s="17" t="n">
        <f aca="false">RANK(E37,$E$3:$E$63)</f>
        <v>16</v>
      </c>
      <c r="G37" s="34" t="n">
        <f aca="false">($J$2*J37+$K$2*K37+$L$2*L37+$M$2*M37+$N$2*N37+$O$2*O37)/$G$2</f>
        <v>12.3291666666667</v>
      </c>
      <c r="H37" s="34" t="n">
        <f aca="false">($P$2*P37+$Q$2*Q37+$R$2*R37+$S$2*S37+$T$2*T37+$U$2*U37)/$H$2</f>
        <v>12.9708333333333</v>
      </c>
      <c r="I37" s="34" t="n">
        <f aca="false">($V$2*V37+$W$2*W37+$X$2*X37)/$I$2</f>
        <v>11.85</v>
      </c>
      <c r="J37" s="34" t="n">
        <f aca="false">SE3!E37</f>
        <v>9.1</v>
      </c>
      <c r="K37" s="34" t="n">
        <f aca="false">RX2!E37</f>
        <v>9.2</v>
      </c>
      <c r="L37" s="31" t="n">
        <f aca="false">RANDBETWEEN(30,180)/10</f>
        <v>14</v>
      </c>
      <c r="M37" s="31" t="n">
        <f aca="false">RANDBETWEEN(30,180)/10</f>
        <v>16.6</v>
      </c>
      <c r="N37" s="31" t="n">
        <f aca="false">RANDBETWEEN(30,180)/10</f>
        <v>9.9</v>
      </c>
      <c r="O37" s="31" t="n">
        <f aca="false">RANDBETWEEN(30,180)/10</f>
        <v>16.1</v>
      </c>
      <c r="P37" s="31" t="n">
        <f aca="false">RANDBETWEEN(30,180)/10</f>
        <v>15.8</v>
      </c>
      <c r="Q37" s="31" t="n">
        <f aca="false">RANDBETWEEN(50,200)/10</f>
        <v>13.1</v>
      </c>
      <c r="R37" s="31" t="n">
        <f aca="false">RANDBETWEEN(50,200)/10</f>
        <v>10</v>
      </c>
      <c r="S37" s="31" t="n">
        <f aca="false">RANDBETWEEN(50,200)/10</f>
        <v>10.7</v>
      </c>
      <c r="T37" s="31" t="n">
        <f aca="false">RANDBETWEEN(50,200)/10</f>
        <v>17</v>
      </c>
      <c r="U37" s="31" t="n">
        <f aca="false">RANDBETWEEN(50,200)/10</f>
        <v>11.7</v>
      </c>
      <c r="V37" s="31" t="n">
        <f aca="false">RANDBETWEEN(50,200)/10</f>
        <v>14.5</v>
      </c>
      <c r="W37" s="31" t="n">
        <f aca="false">RANDBETWEEN(50,200)/10</f>
        <v>9.8</v>
      </c>
      <c r="X37" s="31" t="n">
        <f aca="false">RANDBETWEEN(50,200)/10</f>
        <v>8</v>
      </c>
      <c r="Y37" s="34"/>
      <c r="Z37" s="10" t="s">
        <v>137</v>
      </c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</row>
    <row r="38" s="35" customFormat="true" ht="13.8" hidden="false" customHeight="false" outlineLevel="0" collapsed="false">
      <c r="A38" s="17" t="str">
        <f aca="false">Liste!A38</f>
        <v>20150961</v>
      </c>
      <c r="B38" s="33" t="str">
        <f aca="false">Liste!B38</f>
        <v>LOOPE</v>
      </c>
      <c r="C38" s="33" t="str">
        <f aca="false">Liste!C38</f>
        <v>Giovanni</v>
      </c>
      <c r="D38" s="17" t="str">
        <f aca="false">Liste!D38</f>
        <v>2-A</v>
      </c>
      <c r="E38" s="34" t="n">
        <f aca="false">($G$2*G38+$H$2*H38+$I$2*I38)/$E$2*(1+Y38/200)</f>
        <v>10.84</v>
      </c>
      <c r="F38" s="17" t="n">
        <f aca="false">RANK(E38,$E$3:$E$63)</f>
        <v>47</v>
      </c>
      <c r="G38" s="34" t="n">
        <f aca="false">($J$2*J38+$K$2*K38+$L$2*L38+$M$2*M38+$N$2*N38+$O$2*O38)/$G$2</f>
        <v>7.85</v>
      </c>
      <c r="H38" s="34" t="n">
        <f aca="false">($P$2*P38+$Q$2*Q38+$R$2*R38+$S$2*S38+$T$2*T38+$U$2*U38)/$H$2</f>
        <v>12.1083333333333</v>
      </c>
      <c r="I38" s="34" t="n">
        <f aca="false">($V$2*V38+$W$2*W38+$X$2*X38)/$I$2</f>
        <v>14.2833333333333</v>
      </c>
      <c r="J38" s="34" t="n">
        <f aca="false">SE3!E38</f>
        <v>7.2</v>
      </c>
      <c r="K38" s="34" t="n">
        <f aca="false">RX2!E38</f>
        <v>12.7</v>
      </c>
      <c r="L38" s="31" t="n">
        <f aca="false">RANDBETWEEN(30,180)/10</f>
        <v>6.8</v>
      </c>
      <c r="M38" s="31" t="n">
        <f aca="false">RANDBETWEEN(30,180)/10</f>
        <v>4.4</v>
      </c>
      <c r="N38" s="31" t="n">
        <f aca="false">RANDBETWEEN(30,180)/10</f>
        <v>11.5</v>
      </c>
      <c r="O38" s="31" t="n">
        <f aca="false">RANDBETWEEN(30,180)/10</f>
        <v>4.8</v>
      </c>
      <c r="P38" s="31" t="n">
        <f aca="false">RANDBETWEEN(30,180)/10</f>
        <v>16.6</v>
      </c>
      <c r="Q38" s="31" t="n">
        <f aca="false">RANDBETWEEN(50,200)/10</f>
        <v>15.4</v>
      </c>
      <c r="R38" s="31" t="n">
        <f aca="false">RANDBETWEEN(50,200)/10</f>
        <v>13.4</v>
      </c>
      <c r="S38" s="31" t="n">
        <f aca="false">RANDBETWEEN(50,200)/10</f>
        <v>13.6</v>
      </c>
      <c r="T38" s="31" t="n">
        <f aca="false">RANDBETWEEN(50,200)/10</f>
        <v>6.4</v>
      </c>
      <c r="U38" s="31" t="n">
        <f aca="false">RANDBETWEEN(50,200)/10</f>
        <v>6.8</v>
      </c>
      <c r="V38" s="31" t="n">
        <f aca="false">RANDBETWEEN(50,200)/10</f>
        <v>11.1</v>
      </c>
      <c r="W38" s="31" t="n">
        <f aca="false">RANDBETWEEN(50,200)/10</f>
        <v>19.8</v>
      </c>
      <c r="X38" s="31" t="n">
        <f aca="false">RANDBETWEEN(50,200)/10</f>
        <v>12.8</v>
      </c>
      <c r="Y38" s="34"/>
      <c r="Z38" s="10" t="s">
        <v>140</v>
      </c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  <c r="AMJ38" s="0"/>
    </row>
    <row r="39" s="35" customFormat="true" ht="13.8" hidden="false" customHeight="false" outlineLevel="0" collapsed="false">
      <c r="A39" s="17" t="str">
        <f aca="false">Liste!A39</f>
        <v>20150962</v>
      </c>
      <c r="B39" s="33" t="str">
        <f aca="false">Liste!B39</f>
        <v>MAERTEN</v>
      </c>
      <c r="C39" s="33" t="str">
        <f aca="false">Liste!C39</f>
        <v>Nicolas</v>
      </c>
      <c r="D39" s="17" t="str">
        <f aca="false">Liste!D39</f>
        <v>2-A</v>
      </c>
      <c r="E39" s="34" t="n">
        <f aca="false">($G$2*G39+$H$2*H39+$I$2*I39)/$E$2*(1+Y39/200)</f>
        <v>11.115</v>
      </c>
      <c r="F39" s="17" t="n">
        <f aca="false">RANK(E39,$E$3:$E$63)</f>
        <v>40</v>
      </c>
      <c r="G39" s="34" t="n">
        <f aca="false">($J$2*J39+$K$2*K39+$L$2*L39+$M$2*M39+$N$2*N39+$O$2*O39)/$G$2</f>
        <v>11.35</v>
      </c>
      <c r="H39" s="34" t="n">
        <f aca="false">($P$2*P39+$Q$2*Q39+$R$2*R39+$S$2*S39+$T$2*T39+$U$2*U39)/$H$2</f>
        <v>10.9125</v>
      </c>
      <c r="I39" s="34" t="n">
        <f aca="false">($V$2*V39+$W$2*W39+$X$2*X39)/$I$2</f>
        <v>11.05</v>
      </c>
      <c r="J39" s="34" t="n">
        <f aca="false">SE3!E39</f>
        <v>10.9</v>
      </c>
      <c r="K39" s="34" t="n">
        <f aca="false">RX2!E39</f>
        <v>12.7</v>
      </c>
      <c r="L39" s="31" t="n">
        <f aca="false">RANDBETWEEN(30,180)/10</f>
        <v>9.8</v>
      </c>
      <c r="M39" s="31" t="n">
        <f aca="false">RANDBETWEEN(30,180)/10</f>
        <v>16.2</v>
      </c>
      <c r="N39" s="31" t="n">
        <f aca="false">RANDBETWEEN(30,180)/10</f>
        <v>8.6</v>
      </c>
      <c r="O39" s="31" t="n">
        <f aca="false">RANDBETWEEN(30,180)/10</f>
        <v>8.8</v>
      </c>
      <c r="P39" s="31" t="n">
        <f aca="false">RANDBETWEEN(30,180)/10</f>
        <v>17.9</v>
      </c>
      <c r="Q39" s="31" t="n">
        <f aca="false">RANDBETWEEN(50,200)/10</f>
        <v>12.4</v>
      </c>
      <c r="R39" s="31" t="n">
        <f aca="false">RANDBETWEEN(50,200)/10</f>
        <v>7.1</v>
      </c>
      <c r="S39" s="31" t="n">
        <f aca="false">RANDBETWEEN(50,200)/10</f>
        <v>7.2</v>
      </c>
      <c r="T39" s="31" t="n">
        <f aca="false">RANDBETWEEN(50,200)/10</f>
        <v>16.3</v>
      </c>
      <c r="U39" s="31" t="n">
        <f aca="false">RANDBETWEEN(50,200)/10</f>
        <v>5.8</v>
      </c>
      <c r="V39" s="31" t="n">
        <f aca="false">RANDBETWEEN(50,200)/10</f>
        <v>14.5</v>
      </c>
      <c r="W39" s="31" t="n">
        <f aca="false">RANDBETWEEN(50,200)/10</f>
        <v>5.4</v>
      </c>
      <c r="X39" s="31" t="n">
        <f aca="false">RANDBETWEEN(50,200)/10</f>
        <v>12</v>
      </c>
      <c r="Y39" s="34"/>
      <c r="Z39" s="10" t="s">
        <v>144</v>
      </c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  <c r="AMI39" s="0"/>
      <c r="AMJ39" s="0"/>
    </row>
    <row r="40" s="35" customFormat="true" ht="13.8" hidden="false" customHeight="false" outlineLevel="0" collapsed="false">
      <c r="A40" s="17" t="str">
        <f aca="false">Liste!A40</f>
        <v>20150963</v>
      </c>
      <c r="B40" s="33" t="str">
        <f aca="false">Liste!B40</f>
        <v>MAILLOT</v>
      </c>
      <c r="C40" s="33" t="str">
        <f aca="false">Liste!C40</f>
        <v>Maxime</v>
      </c>
      <c r="D40" s="17" t="str">
        <f aca="false">Liste!D40</f>
        <v>2-B</v>
      </c>
      <c r="E40" s="34" t="n">
        <f aca="false">($G$2*G40+$H$2*H40+$I$2*I40)/$E$2*(1+Y40/200)</f>
        <v>11.6083333333333</v>
      </c>
      <c r="F40" s="17" t="n">
        <f aca="false">RANK(E40,$E$3:$E$63)</f>
        <v>35</v>
      </c>
      <c r="G40" s="34" t="n">
        <f aca="false">($J$2*J40+$K$2*K40+$L$2*L40+$M$2*M40+$N$2*N40+$O$2*O40)/$G$2</f>
        <v>9.7125</v>
      </c>
      <c r="H40" s="34" t="n">
        <f aca="false">($P$2*P40+$Q$2*Q40+$R$2*R40+$S$2*S40+$T$2*T40+$U$2*U40)/$H$2</f>
        <v>10.3666666666667</v>
      </c>
      <c r="I40" s="34" t="n">
        <f aca="false">($V$2*V40+$W$2*W40+$X$2*X40)/$I$2</f>
        <v>17.8833333333333</v>
      </c>
      <c r="J40" s="34" t="n">
        <f aca="false">SE3!E40</f>
        <v>9</v>
      </c>
      <c r="K40" s="34" t="n">
        <f aca="false">RX2!E40</f>
        <v>12</v>
      </c>
      <c r="L40" s="31" t="n">
        <f aca="false">RANDBETWEEN(30,180)/10</f>
        <v>3.3</v>
      </c>
      <c r="M40" s="31" t="n">
        <f aca="false">RANDBETWEEN(30,180)/10</f>
        <v>5.6</v>
      </c>
      <c r="N40" s="31" t="n">
        <f aca="false">RANDBETWEEN(30,180)/10</f>
        <v>14.2</v>
      </c>
      <c r="O40" s="31" t="n">
        <f aca="false">RANDBETWEEN(30,180)/10</f>
        <v>14.4</v>
      </c>
      <c r="P40" s="31" t="n">
        <f aca="false">RANDBETWEEN(30,180)/10</f>
        <v>10.3</v>
      </c>
      <c r="Q40" s="31" t="n">
        <f aca="false">RANDBETWEEN(50,200)/10</f>
        <v>9.6</v>
      </c>
      <c r="R40" s="31" t="n">
        <f aca="false">RANDBETWEEN(50,200)/10</f>
        <v>6.6</v>
      </c>
      <c r="S40" s="31" t="n">
        <f aca="false">RANDBETWEEN(50,200)/10</f>
        <v>13</v>
      </c>
      <c r="T40" s="31" t="n">
        <f aca="false">RANDBETWEEN(50,200)/10</f>
        <v>14.4</v>
      </c>
      <c r="U40" s="31" t="n">
        <f aca="false">RANDBETWEEN(50,200)/10</f>
        <v>8.1</v>
      </c>
      <c r="V40" s="31" t="n">
        <f aca="false">RANDBETWEEN(50,200)/10</f>
        <v>19.2</v>
      </c>
      <c r="W40" s="31" t="n">
        <f aca="false">RANDBETWEEN(50,200)/10</f>
        <v>18</v>
      </c>
      <c r="X40" s="31" t="n">
        <f aca="false">RANDBETWEEN(50,200)/10</f>
        <v>13.7</v>
      </c>
      <c r="Y40" s="34"/>
      <c r="Z40" s="12" t="s">
        <v>146</v>
      </c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  <c r="AMI40" s="0"/>
      <c r="AMJ40" s="0"/>
    </row>
    <row r="41" s="35" customFormat="true" ht="13.8" hidden="false" customHeight="false" outlineLevel="0" collapsed="false">
      <c r="A41" s="17" t="str">
        <f aca="false">Liste!A41</f>
        <v>20150964</v>
      </c>
      <c r="B41" s="33" t="str">
        <f aca="false">Liste!B41</f>
        <v>MARIE</v>
      </c>
      <c r="C41" s="33" t="str">
        <f aca="false">Liste!C41</f>
        <v>Louis</v>
      </c>
      <c r="D41" s="17" t="str">
        <f aca="false">Liste!D41</f>
        <v>2-A</v>
      </c>
      <c r="E41" s="34" t="n">
        <f aca="false">($G$2*G41+$H$2*H41+$I$2*I41)/$E$2*(1+Y41/200)</f>
        <v>12.1733333333333</v>
      </c>
      <c r="F41" s="17" t="n">
        <f aca="false">RANK(E41,$E$3:$E$63)</f>
        <v>23</v>
      </c>
      <c r="G41" s="34" t="n">
        <f aca="false">($J$2*J41+$K$2*K41+$L$2*L41+$M$2*M41+$N$2*N41+$O$2*O41)/$G$2</f>
        <v>12.1625</v>
      </c>
      <c r="H41" s="34" t="n">
        <f aca="false">($P$2*P41+$Q$2*Q41+$R$2*R41+$S$2*S41+$T$2*T41+$U$2*U41)/$H$2</f>
        <v>13.2208333333333</v>
      </c>
      <c r="I41" s="34" t="n">
        <f aca="false">($V$2*V41+$W$2*W41+$X$2*X41)/$I$2</f>
        <v>10.1</v>
      </c>
      <c r="J41" s="34" t="n">
        <f aca="false">SE3!E41</f>
        <v>16.1</v>
      </c>
      <c r="K41" s="34" t="n">
        <f aca="false">RX2!E41</f>
        <v>18.1</v>
      </c>
      <c r="L41" s="31" t="n">
        <f aca="false">RANDBETWEEN(30,180)/10</f>
        <v>8</v>
      </c>
      <c r="M41" s="31" t="n">
        <f aca="false">RANDBETWEEN(30,180)/10</f>
        <v>15.1</v>
      </c>
      <c r="N41" s="31" t="n">
        <f aca="false">RANDBETWEEN(30,180)/10</f>
        <v>3</v>
      </c>
      <c r="O41" s="31" t="n">
        <f aca="false">RANDBETWEEN(30,180)/10</f>
        <v>14.2</v>
      </c>
      <c r="P41" s="31" t="n">
        <f aca="false">RANDBETWEEN(30,180)/10</f>
        <v>16</v>
      </c>
      <c r="Q41" s="31" t="n">
        <f aca="false">RANDBETWEEN(50,200)/10</f>
        <v>9.7</v>
      </c>
      <c r="R41" s="31" t="n">
        <f aca="false">RANDBETWEEN(50,200)/10</f>
        <v>11</v>
      </c>
      <c r="S41" s="31" t="n">
        <f aca="false">RANDBETWEEN(50,200)/10</f>
        <v>10</v>
      </c>
      <c r="T41" s="31" t="n">
        <f aca="false">RANDBETWEEN(50,200)/10</f>
        <v>18.4</v>
      </c>
      <c r="U41" s="31" t="n">
        <f aca="false">RANDBETWEEN(50,200)/10</f>
        <v>14</v>
      </c>
      <c r="V41" s="31" t="n">
        <f aca="false">RANDBETWEEN(50,200)/10</f>
        <v>9</v>
      </c>
      <c r="W41" s="31" t="n">
        <f aca="false">RANDBETWEEN(50,200)/10</f>
        <v>10.8</v>
      </c>
      <c r="X41" s="31" t="n">
        <f aca="false">RANDBETWEEN(50,200)/10</f>
        <v>12</v>
      </c>
      <c r="Y41" s="34"/>
      <c r="Z41" s="10" t="s">
        <v>150</v>
      </c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  <c r="AMI41" s="0"/>
      <c r="AMJ41" s="0"/>
    </row>
    <row r="42" s="35" customFormat="true" ht="13.8" hidden="false" customHeight="false" outlineLevel="0" collapsed="false">
      <c r="A42" s="17" t="str">
        <f aca="false">Liste!A42</f>
        <v>20150965</v>
      </c>
      <c r="B42" s="33" t="str">
        <f aca="false">Liste!B42</f>
        <v>MARTIN</v>
      </c>
      <c r="C42" s="33" t="str">
        <f aca="false">Liste!C42</f>
        <v>Alexandre</v>
      </c>
      <c r="D42" s="17" t="str">
        <f aca="false">Liste!D42</f>
        <v>2-C</v>
      </c>
      <c r="E42" s="34" t="n">
        <f aca="false">($G$2*G42+$H$2*H42+$I$2*I42)/$E$2*(1+Y42/200)</f>
        <v>14.09</v>
      </c>
      <c r="F42" s="17" t="n">
        <f aca="false">RANK(E42,$E$3:$E$63)</f>
        <v>2</v>
      </c>
      <c r="G42" s="34" t="n">
        <f aca="false">($J$2*J42+$K$2*K42+$L$2*L42+$M$2*M42+$N$2*N42+$O$2*O42)/$G$2</f>
        <v>13.3833333333333</v>
      </c>
      <c r="H42" s="34" t="n">
        <f aca="false">($P$2*P42+$Q$2*Q42+$R$2*R42+$S$2*S42+$T$2*T42+$U$2*U42)/$H$2</f>
        <v>13.6666666666667</v>
      </c>
      <c r="I42" s="34" t="n">
        <f aca="false">($V$2*V42+$W$2*W42+$X$2*X42)/$I$2</f>
        <v>16.35</v>
      </c>
      <c r="J42" s="34" t="n">
        <f aca="false">SE3!E42</f>
        <v>16.8</v>
      </c>
      <c r="K42" s="34" t="n">
        <f aca="false">RX2!E42</f>
        <v>12.7</v>
      </c>
      <c r="L42" s="31" t="n">
        <f aca="false">RANDBETWEEN(30,180)/10</f>
        <v>15.1</v>
      </c>
      <c r="M42" s="31" t="n">
        <f aca="false">RANDBETWEEN(30,180)/10</f>
        <v>7.2</v>
      </c>
      <c r="N42" s="31" t="n">
        <f aca="false">RANDBETWEEN(30,180)/10</f>
        <v>15.1</v>
      </c>
      <c r="O42" s="31" t="n">
        <f aca="false">RANDBETWEEN(30,180)/10</f>
        <v>14.1</v>
      </c>
      <c r="P42" s="31" t="n">
        <f aca="false">RANDBETWEEN(30,180)/10</f>
        <v>11</v>
      </c>
      <c r="Q42" s="31" t="n">
        <f aca="false">RANDBETWEEN(50,200)/10</f>
        <v>10</v>
      </c>
      <c r="R42" s="31" t="n">
        <f aca="false">RANDBETWEEN(50,200)/10</f>
        <v>19.1</v>
      </c>
      <c r="S42" s="31" t="n">
        <f aca="false">RANDBETWEEN(50,200)/10</f>
        <v>14</v>
      </c>
      <c r="T42" s="31" t="n">
        <f aca="false">RANDBETWEEN(50,200)/10</f>
        <v>10.9</v>
      </c>
      <c r="U42" s="31" t="n">
        <f aca="false">RANDBETWEEN(50,200)/10</f>
        <v>16.6</v>
      </c>
      <c r="V42" s="31" t="n">
        <f aca="false">RANDBETWEEN(50,200)/10</f>
        <v>19.7</v>
      </c>
      <c r="W42" s="31" t="n">
        <f aca="false">RANDBETWEEN(50,200)/10</f>
        <v>11</v>
      </c>
      <c r="X42" s="31" t="n">
        <f aca="false">RANDBETWEEN(50,200)/10</f>
        <v>17</v>
      </c>
      <c r="Y42" s="34"/>
      <c r="Z42" s="10" t="s">
        <v>152</v>
      </c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  <c r="AMI42" s="0"/>
      <c r="AMJ42" s="0"/>
    </row>
    <row r="43" s="35" customFormat="true" ht="13.8" hidden="false" customHeight="false" outlineLevel="0" collapsed="false">
      <c r="A43" s="17" t="str">
        <f aca="false">Liste!A43</f>
        <v>20150966</v>
      </c>
      <c r="B43" s="33" t="str">
        <f aca="false">Liste!B43</f>
        <v>MASSELOT</v>
      </c>
      <c r="C43" s="33" t="str">
        <f aca="false">Liste!C43</f>
        <v>Romain</v>
      </c>
      <c r="D43" s="17" t="str">
        <f aca="false">Liste!D43</f>
        <v>2-A</v>
      </c>
      <c r="E43" s="34" t="n">
        <f aca="false">($G$2*G43+$H$2*H43+$I$2*I43)/$E$2*(1+Y43/200)</f>
        <v>10.4566666666667</v>
      </c>
      <c r="F43" s="17" t="n">
        <f aca="false">RANK(E43,$E$3:$E$63)</f>
        <v>54</v>
      </c>
      <c r="G43" s="34" t="n">
        <f aca="false">($J$2*J43+$K$2*K43+$L$2*L43+$M$2*M43+$N$2*N43+$O$2*O43)/$G$2</f>
        <v>11.975</v>
      </c>
      <c r="H43" s="34" t="n">
        <f aca="false">($P$2*P43+$Q$2*Q43+$R$2*R43+$S$2*S43+$T$2*T43+$U$2*U43)/$H$2</f>
        <v>10.2166666666667</v>
      </c>
      <c r="I43" s="34" t="n">
        <f aca="false">($V$2*V43+$W$2*W43+$X$2*X43)/$I$2</f>
        <v>7.9</v>
      </c>
      <c r="J43" s="34" t="n">
        <f aca="false">SE3!E43</f>
        <v>10.7</v>
      </c>
      <c r="K43" s="34" t="n">
        <f aca="false">RX2!E43</f>
        <v>7.9</v>
      </c>
      <c r="L43" s="31" t="n">
        <f aca="false">RANDBETWEEN(30,180)/10</f>
        <v>13.8</v>
      </c>
      <c r="M43" s="31" t="n">
        <f aca="false">RANDBETWEEN(30,180)/10</f>
        <v>15.6</v>
      </c>
      <c r="N43" s="31" t="n">
        <f aca="false">RANDBETWEEN(30,180)/10</f>
        <v>11.5</v>
      </c>
      <c r="O43" s="31" t="n">
        <f aca="false">RANDBETWEEN(30,180)/10</f>
        <v>11.1</v>
      </c>
      <c r="P43" s="31" t="n">
        <f aca="false">RANDBETWEEN(30,180)/10</f>
        <v>4.9</v>
      </c>
      <c r="Q43" s="31" t="n">
        <f aca="false">RANDBETWEEN(50,200)/10</f>
        <v>19</v>
      </c>
      <c r="R43" s="31" t="n">
        <f aca="false">RANDBETWEEN(50,200)/10</f>
        <v>10.6</v>
      </c>
      <c r="S43" s="31" t="n">
        <f aca="false">RANDBETWEEN(50,200)/10</f>
        <v>8.2</v>
      </c>
      <c r="T43" s="31" t="n">
        <f aca="false">RANDBETWEEN(50,200)/10</f>
        <v>8.8</v>
      </c>
      <c r="U43" s="31" t="n">
        <f aca="false">RANDBETWEEN(50,200)/10</f>
        <v>12.9</v>
      </c>
      <c r="V43" s="31" t="n">
        <f aca="false">RANDBETWEEN(50,200)/10</f>
        <v>5.7</v>
      </c>
      <c r="W43" s="31" t="n">
        <f aca="false">RANDBETWEEN(50,200)/10</f>
        <v>12.3</v>
      </c>
      <c r="X43" s="31" t="n">
        <f aca="false">RANDBETWEEN(50,200)/10</f>
        <v>5.7</v>
      </c>
      <c r="Y43" s="34"/>
      <c r="Z43" s="10" t="s">
        <v>156</v>
      </c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  <c r="AMJ43" s="0"/>
    </row>
    <row r="44" s="35" customFormat="true" ht="13.8" hidden="false" customHeight="false" outlineLevel="0" collapsed="false">
      <c r="A44" s="17" t="str">
        <f aca="false">Liste!A44</f>
        <v>20150967</v>
      </c>
      <c r="B44" s="33" t="str">
        <f aca="false">Liste!B44</f>
        <v>MERLIN</v>
      </c>
      <c r="C44" s="33" t="str">
        <f aca="false">Liste!C44</f>
        <v>Anthony</v>
      </c>
      <c r="D44" s="17" t="str">
        <f aca="false">Liste!D44</f>
        <v>2-A</v>
      </c>
      <c r="E44" s="34" t="n">
        <f aca="false">($G$2*G44+$H$2*H44+$I$2*I44)/$E$2*(1+Y44/200)</f>
        <v>11.5766666666667</v>
      </c>
      <c r="F44" s="17" t="n">
        <f aca="false">RANK(E44,$E$3:$E$63)</f>
        <v>36</v>
      </c>
      <c r="G44" s="34" t="n">
        <f aca="false">($J$2*J44+$K$2*K44+$L$2*L44+$M$2*M44+$N$2*N44+$O$2*O44)/$G$2</f>
        <v>13.825</v>
      </c>
      <c r="H44" s="34" t="n">
        <f aca="false">($P$2*P44+$Q$2*Q44+$R$2*R44+$S$2*S44+$T$2*T44+$U$2*U44)/$H$2</f>
        <v>10.1583333333333</v>
      </c>
      <c r="I44" s="34" t="n">
        <f aca="false">($V$2*V44+$W$2*W44+$X$2*X44)/$I$2</f>
        <v>9.91666666666667</v>
      </c>
      <c r="J44" s="34" t="n">
        <f aca="false">SE3!E44</f>
        <v>12</v>
      </c>
      <c r="K44" s="34" t="n">
        <f aca="false">RX2!E44</f>
        <v>9.4</v>
      </c>
      <c r="L44" s="31" t="n">
        <f aca="false">RANDBETWEEN(30,180)/10</f>
        <v>9</v>
      </c>
      <c r="M44" s="31" t="n">
        <f aca="false">RANDBETWEEN(30,180)/10</f>
        <v>17.7</v>
      </c>
      <c r="N44" s="31" t="n">
        <f aca="false">RANDBETWEEN(30,180)/10</f>
        <v>17.4</v>
      </c>
      <c r="O44" s="31" t="n">
        <f aca="false">RANDBETWEEN(30,180)/10</f>
        <v>13.7</v>
      </c>
      <c r="P44" s="31" t="n">
        <f aca="false">RANDBETWEEN(30,180)/10</f>
        <v>5.4</v>
      </c>
      <c r="Q44" s="31" t="n">
        <f aca="false">RANDBETWEEN(50,200)/10</f>
        <v>7.9</v>
      </c>
      <c r="R44" s="31" t="n">
        <f aca="false">RANDBETWEEN(50,200)/10</f>
        <v>9.9</v>
      </c>
      <c r="S44" s="31" t="n">
        <f aca="false">RANDBETWEEN(50,200)/10</f>
        <v>5.5</v>
      </c>
      <c r="T44" s="31" t="n">
        <f aca="false">RANDBETWEEN(50,200)/10</f>
        <v>18.8</v>
      </c>
      <c r="U44" s="31" t="n">
        <f aca="false">RANDBETWEEN(50,200)/10</f>
        <v>15.9</v>
      </c>
      <c r="V44" s="31" t="n">
        <f aca="false">RANDBETWEEN(50,200)/10</f>
        <v>5</v>
      </c>
      <c r="W44" s="31" t="n">
        <f aca="false">RANDBETWEEN(50,200)/10</f>
        <v>12.6</v>
      </c>
      <c r="X44" s="31" t="n">
        <f aca="false">RANDBETWEEN(50,200)/10</f>
        <v>19.3</v>
      </c>
      <c r="Y44" s="34"/>
      <c r="Z44" s="10" t="s">
        <v>158</v>
      </c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  <c r="AMI44" s="0"/>
      <c r="AMJ44" s="0"/>
    </row>
    <row r="45" s="35" customFormat="true" ht="13.8" hidden="false" customHeight="false" outlineLevel="0" collapsed="false">
      <c r="A45" s="17" t="str">
        <f aca="false">Liste!A45</f>
        <v>20150968</v>
      </c>
      <c r="B45" s="33" t="str">
        <f aca="false">Liste!B45</f>
        <v>PETIT</v>
      </c>
      <c r="C45" s="33" t="str">
        <f aca="false">Liste!C45</f>
        <v>Chloe</v>
      </c>
      <c r="D45" s="17" t="str">
        <f aca="false">Liste!D45</f>
        <v>2-C</v>
      </c>
      <c r="E45" s="34" t="n">
        <f aca="false">($G$2*G45+$H$2*H45+$I$2*I45)/$E$2*(1+Y45/200)</f>
        <v>14.4316666666667</v>
      </c>
      <c r="F45" s="17" t="n">
        <f aca="false">RANK(E45,$E$3:$E$63)</f>
        <v>1</v>
      </c>
      <c r="G45" s="34" t="n">
        <f aca="false">($J$2*J45+$K$2*K45+$L$2*L45+$M$2*M45+$N$2*N45+$O$2*O45)/$G$2</f>
        <v>14.6666666666667</v>
      </c>
      <c r="H45" s="34" t="n">
        <f aca="false">($P$2*P45+$Q$2*Q45+$R$2*R45+$S$2*S45+$T$2*T45+$U$2*U45)/$H$2</f>
        <v>15.2041666666667</v>
      </c>
      <c r="I45" s="34" t="n">
        <f aca="false">($V$2*V45+$W$2*W45+$X$2*X45)/$I$2</f>
        <v>12.4166666666667</v>
      </c>
      <c r="J45" s="34" t="n">
        <f aca="false">SE3!E45</f>
        <v>15</v>
      </c>
      <c r="K45" s="34" t="n">
        <f aca="false">RX2!E45</f>
        <v>15.2</v>
      </c>
      <c r="L45" s="31" t="n">
        <f aca="false">RANDBETWEEN(30,180)/10</f>
        <v>16.6</v>
      </c>
      <c r="M45" s="31" t="n">
        <f aca="false">RANDBETWEEN(30,180)/10</f>
        <v>17.6</v>
      </c>
      <c r="N45" s="31" t="n">
        <f aca="false">RANDBETWEEN(30,180)/10</f>
        <v>12.9</v>
      </c>
      <c r="O45" s="31" t="n">
        <f aca="false">RANDBETWEEN(30,180)/10</f>
        <v>9.7</v>
      </c>
      <c r="P45" s="31" t="n">
        <f aca="false">RANDBETWEEN(30,180)/10</f>
        <v>10</v>
      </c>
      <c r="Q45" s="31" t="n">
        <f aca="false">RANDBETWEEN(50,200)/10</f>
        <v>13.1</v>
      </c>
      <c r="R45" s="31" t="n">
        <f aca="false">RANDBETWEEN(50,200)/10</f>
        <v>18.3</v>
      </c>
      <c r="S45" s="31" t="n">
        <f aca="false">RANDBETWEEN(50,200)/10</f>
        <v>16.2</v>
      </c>
      <c r="T45" s="31" t="n">
        <f aca="false">RANDBETWEEN(50,200)/10</f>
        <v>17.4</v>
      </c>
      <c r="U45" s="31" t="n">
        <f aca="false">RANDBETWEEN(50,200)/10</f>
        <v>17.5</v>
      </c>
      <c r="V45" s="31" t="n">
        <f aca="false">RANDBETWEEN(50,200)/10</f>
        <v>14.4</v>
      </c>
      <c r="W45" s="31" t="n">
        <f aca="false">RANDBETWEEN(50,200)/10</f>
        <v>7.3</v>
      </c>
      <c r="X45" s="31" t="n">
        <f aca="false">RANDBETWEEN(50,200)/10</f>
        <v>16.7</v>
      </c>
      <c r="Y45" s="34"/>
      <c r="Z45" s="10" t="s">
        <v>161</v>
      </c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  <c r="AMI45" s="0"/>
      <c r="AMJ45" s="0"/>
    </row>
    <row r="46" s="35" customFormat="true" ht="13.8" hidden="false" customHeight="false" outlineLevel="0" collapsed="false">
      <c r="A46" s="17" t="str">
        <f aca="false">Liste!A46</f>
        <v>20150969</v>
      </c>
      <c r="B46" s="33" t="str">
        <f aca="false">Liste!B46</f>
        <v>POLAN</v>
      </c>
      <c r="C46" s="33" t="str">
        <f aca="false">Liste!C46</f>
        <v>Geoffrey</v>
      </c>
      <c r="D46" s="17" t="str">
        <f aca="false">Liste!D46</f>
        <v>2-A</v>
      </c>
      <c r="E46" s="34" t="n">
        <f aca="false">($G$2*G46+$H$2*H46+$I$2*I46)/$E$2*(1+Y46/200)</f>
        <v>12.6866666666667</v>
      </c>
      <c r="F46" s="17" t="n">
        <f aca="false">RANK(E46,$E$3:$E$63)</f>
        <v>13</v>
      </c>
      <c r="G46" s="34" t="n">
        <f aca="false">($J$2*J46+$K$2*K46+$L$2*L46+$M$2*M46+$N$2*N46+$O$2*O46)/$G$2</f>
        <v>10.9375</v>
      </c>
      <c r="H46" s="34" t="n">
        <f aca="false">($P$2*P46+$Q$2*Q46+$R$2*R46+$S$2*S46+$T$2*T46+$U$2*U46)/$H$2</f>
        <v>14.8875</v>
      </c>
      <c r="I46" s="34" t="n">
        <f aca="false">($V$2*V46+$W$2*W46+$X$2*X46)/$I$2</f>
        <v>11.7833333333333</v>
      </c>
      <c r="J46" s="34" t="n">
        <f aca="false">SE3!E46</f>
        <v>9</v>
      </c>
      <c r="K46" s="34" t="n">
        <f aca="false">RX2!E46</f>
        <v>8.8</v>
      </c>
      <c r="L46" s="31" t="n">
        <f aca="false">RANDBETWEEN(30,180)/10</f>
        <v>13.1</v>
      </c>
      <c r="M46" s="31" t="n">
        <f aca="false">RANDBETWEEN(30,180)/10</f>
        <v>16.3</v>
      </c>
      <c r="N46" s="31" t="n">
        <f aca="false">RANDBETWEEN(30,180)/10</f>
        <v>11.6</v>
      </c>
      <c r="O46" s="31" t="n">
        <f aca="false">RANDBETWEEN(30,180)/10</f>
        <v>4.1</v>
      </c>
      <c r="P46" s="31" t="n">
        <f aca="false">RANDBETWEEN(30,180)/10</f>
        <v>14.1</v>
      </c>
      <c r="Q46" s="31" t="n">
        <f aca="false">RANDBETWEEN(50,200)/10</f>
        <v>19.6</v>
      </c>
      <c r="R46" s="31" t="n">
        <f aca="false">RANDBETWEEN(50,200)/10</f>
        <v>11.8</v>
      </c>
      <c r="S46" s="31" t="n">
        <f aca="false">RANDBETWEEN(50,200)/10</f>
        <v>11.9</v>
      </c>
      <c r="T46" s="31" t="n">
        <f aca="false">RANDBETWEEN(50,200)/10</f>
        <v>18.7</v>
      </c>
      <c r="U46" s="31" t="n">
        <f aca="false">RANDBETWEEN(50,200)/10</f>
        <v>15.4</v>
      </c>
      <c r="V46" s="31" t="n">
        <f aca="false">RANDBETWEEN(50,200)/10</f>
        <v>14.1</v>
      </c>
      <c r="W46" s="31" t="n">
        <f aca="false">RANDBETWEEN(50,200)/10</f>
        <v>9.9</v>
      </c>
      <c r="X46" s="31" t="n">
        <f aca="false">RANDBETWEEN(50,200)/10</f>
        <v>8.6</v>
      </c>
      <c r="Y46" s="34"/>
      <c r="Z46" s="10" t="s">
        <v>164</v>
      </c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  <c r="AMI46" s="0"/>
      <c r="AMJ46" s="0"/>
    </row>
    <row r="47" s="35" customFormat="true" ht="13.8" hidden="false" customHeight="false" outlineLevel="0" collapsed="false">
      <c r="A47" s="17" t="str">
        <f aca="false">Liste!A47</f>
        <v>20150970</v>
      </c>
      <c r="B47" s="33" t="str">
        <f aca="false">Liste!B47</f>
        <v>POUILLY</v>
      </c>
      <c r="C47" s="33" t="str">
        <f aca="false">Liste!C47</f>
        <v>Gaetan</v>
      </c>
      <c r="D47" s="17" t="str">
        <f aca="false">Liste!D47</f>
        <v>2-B</v>
      </c>
      <c r="E47" s="34" t="n">
        <f aca="false">($G$2*G47+$H$2*H47+$I$2*I47)/$E$2*(1+Y47/200)</f>
        <v>10.805</v>
      </c>
      <c r="F47" s="17" t="n">
        <f aca="false">RANK(E47,$E$3:$E$63)</f>
        <v>48</v>
      </c>
      <c r="G47" s="34" t="n">
        <f aca="false">($J$2*J47+$K$2*K47+$L$2*L47+$M$2*M47+$N$2*N47+$O$2*O47)/$G$2</f>
        <v>7.575</v>
      </c>
      <c r="H47" s="34" t="n">
        <f aca="false">($P$2*P47+$Q$2*Q47+$R$2*R47+$S$2*S47+$T$2*T47+$U$2*U47)/$H$2</f>
        <v>13.6875</v>
      </c>
      <c r="I47" s="34" t="n">
        <f aca="false">($V$2*V47+$W$2*W47+$X$2*X47)/$I$2</f>
        <v>11.5</v>
      </c>
      <c r="J47" s="34" t="n">
        <f aca="false">SE3!E47</f>
        <v>11.2</v>
      </c>
      <c r="K47" s="34" t="n">
        <f aca="false">RX2!E47</f>
        <v>11.1</v>
      </c>
      <c r="L47" s="31" t="n">
        <f aca="false">RANDBETWEEN(30,180)/10</f>
        <v>4.2</v>
      </c>
      <c r="M47" s="31" t="n">
        <f aca="false">RANDBETWEEN(30,180)/10</f>
        <v>8.9</v>
      </c>
      <c r="N47" s="31" t="n">
        <f aca="false">RANDBETWEEN(30,180)/10</f>
        <v>3.6</v>
      </c>
      <c r="O47" s="31" t="n">
        <f aca="false">RANDBETWEEN(30,180)/10</f>
        <v>5.8</v>
      </c>
      <c r="P47" s="31" t="n">
        <f aca="false">RANDBETWEEN(30,180)/10</f>
        <v>15.5</v>
      </c>
      <c r="Q47" s="31" t="n">
        <f aca="false">RANDBETWEEN(50,200)/10</f>
        <v>12.2</v>
      </c>
      <c r="R47" s="31" t="n">
        <f aca="false">RANDBETWEEN(50,200)/10</f>
        <v>7.9</v>
      </c>
      <c r="S47" s="31" t="n">
        <f aca="false">RANDBETWEEN(50,200)/10</f>
        <v>15.4</v>
      </c>
      <c r="T47" s="31" t="n">
        <f aca="false">RANDBETWEEN(50,200)/10</f>
        <v>7.9</v>
      </c>
      <c r="U47" s="31" t="n">
        <f aca="false">RANDBETWEEN(50,200)/10</f>
        <v>18</v>
      </c>
      <c r="V47" s="31" t="n">
        <f aca="false">RANDBETWEEN(50,200)/10</f>
        <v>12.1</v>
      </c>
      <c r="W47" s="31" t="n">
        <f aca="false">RANDBETWEEN(50,200)/10</f>
        <v>10.1</v>
      </c>
      <c r="X47" s="31" t="n">
        <f aca="false">RANDBETWEEN(50,200)/10</f>
        <v>12.5</v>
      </c>
      <c r="Y47" s="34"/>
      <c r="Z47" s="12" t="s">
        <v>166</v>
      </c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</row>
    <row r="48" s="35" customFormat="true" ht="13.8" hidden="false" customHeight="false" outlineLevel="0" collapsed="false">
      <c r="A48" s="17" t="str">
        <f aca="false">Liste!A48</f>
        <v>20150971</v>
      </c>
      <c r="B48" s="33" t="str">
        <f aca="false">Liste!B48</f>
        <v>ROLAND</v>
      </c>
      <c r="C48" s="33" t="str">
        <f aca="false">Liste!C48</f>
        <v>Jeremie</v>
      </c>
      <c r="D48" s="17" t="str">
        <f aca="false">Liste!D48</f>
        <v>2-C</v>
      </c>
      <c r="E48" s="34" t="n">
        <f aca="false">($G$2*G48+$H$2*H48+$I$2*I48)/$E$2*(1+Y48/200)</f>
        <v>11.1616666666667</v>
      </c>
      <c r="F48" s="17" t="n">
        <f aca="false">RANK(E48,$E$3:$E$63)</f>
        <v>38</v>
      </c>
      <c r="G48" s="34" t="n">
        <f aca="false">($J$2*J48+$K$2*K48+$L$2*L48+$M$2*M48+$N$2*N48+$O$2*O48)/$G$2</f>
        <v>11.925</v>
      </c>
      <c r="H48" s="34" t="n">
        <f aca="false">($P$2*P48+$Q$2*Q48+$R$2*R48+$S$2*S48+$T$2*T48+$U$2*U48)/$H$2</f>
        <v>11.8625</v>
      </c>
      <c r="I48" s="34" t="n">
        <f aca="false">($V$2*V48+$W$2*W48+$X$2*X48)/$I$2</f>
        <v>8.23333333333333</v>
      </c>
      <c r="J48" s="34" t="n">
        <f aca="false">SE3!E48</f>
        <v>19.6</v>
      </c>
      <c r="K48" s="34" t="n">
        <f aca="false">RX2!E48</f>
        <v>12.1</v>
      </c>
      <c r="L48" s="31" t="n">
        <f aca="false">RANDBETWEEN(30,180)/10</f>
        <v>7.9</v>
      </c>
      <c r="M48" s="31" t="n">
        <f aca="false">RANDBETWEEN(30,180)/10</f>
        <v>7.4</v>
      </c>
      <c r="N48" s="31" t="n">
        <f aca="false">RANDBETWEEN(30,180)/10</f>
        <v>12.9</v>
      </c>
      <c r="O48" s="31" t="n">
        <f aca="false">RANDBETWEEN(30,180)/10</f>
        <v>8.9</v>
      </c>
      <c r="P48" s="31" t="n">
        <f aca="false">RANDBETWEEN(30,180)/10</f>
        <v>5.9</v>
      </c>
      <c r="Q48" s="31" t="n">
        <f aca="false">RANDBETWEEN(50,200)/10</f>
        <v>17.3</v>
      </c>
      <c r="R48" s="31" t="n">
        <f aca="false">RANDBETWEEN(50,200)/10</f>
        <v>19.6</v>
      </c>
      <c r="S48" s="31" t="n">
        <f aca="false">RANDBETWEEN(50,200)/10</f>
        <v>11.7</v>
      </c>
      <c r="T48" s="31" t="n">
        <f aca="false">RANDBETWEEN(50,200)/10</f>
        <v>15</v>
      </c>
      <c r="U48" s="31" t="n">
        <f aca="false">RANDBETWEEN(50,200)/10</f>
        <v>8.2</v>
      </c>
      <c r="V48" s="31" t="n">
        <f aca="false">RANDBETWEEN(50,200)/10</f>
        <v>9</v>
      </c>
      <c r="W48" s="31" t="n">
        <f aca="false">RANDBETWEEN(50,200)/10</f>
        <v>8.7</v>
      </c>
      <c r="X48" s="31" t="n">
        <f aca="false">RANDBETWEEN(50,200)/10</f>
        <v>5</v>
      </c>
      <c r="Y48" s="34"/>
      <c r="Z48" s="10" t="s">
        <v>169</v>
      </c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  <c r="AMJ48" s="0"/>
    </row>
    <row r="49" s="35" customFormat="true" ht="13.8" hidden="false" customHeight="false" outlineLevel="0" collapsed="false">
      <c r="A49" s="17" t="str">
        <f aca="false">Liste!A49</f>
        <v>20150972</v>
      </c>
      <c r="B49" s="33" t="str">
        <f aca="false">Liste!B49</f>
        <v>ROTTIERS</v>
      </c>
      <c r="C49" s="33" t="str">
        <f aca="false">Liste!C49</f>
        <v>Theo</v>
      </c>
      <c r="D49" s="17" t="str">
        <f aca="false">Liste!D49</f>
        <v>2-B</v>
      </c>
      <c r="E49" s="34" t="n">
        <f aca="false">($G$2*G49+$H$2*H49+$I$2*I49)/$E$2*(1+Y49/200)</f>
        <v>11.71</v>
      </c>
      <c r="F49" s="17" t="n">
        <f aca="false">RANK(E49,$E$3:$E$63)</f>
        <v>33</v>
      </c>
      <c r="G49" s="34" t="n">
        <f aca="false">($J$2*J49+$K$2*K49+$L$2*L49+$M$2*M49+$N$2*N49+$O$2*O49)/$G$2</f>
        <v>11.7</v>
      </c>
      <c r="H49" s="34" t="n">
        <f aca="false">($P$2*P49+$Q$2*Q49+$R$2*R49+$S$2*S49+$T$2*T49+$U$2*U49)/$H$2</f>
        <v>13.9083333333333</v>
      </c>
      <c r="I49" s="34" t="n">
        <f aca="false">($V$2*V49+$W$2*W49+$X$2*X49)/$I$2</f>
        <v>7.33333333333333</v>
      </c>
      <c r="J49" s="34" t="n">
        <f aca="false">SE3!E49</f>
        <v>15.4</v>
      </c>
      <c r="K49" s="34" t="n">
        <f aca="false">RX2!E49</f>
        <v>12.7</v>
      </c>
      <c r="L49" s="31" t="n">
        <f aca="false">RANDBETWEEN(30,180)/10</f>
        <v>15.3</v>
      </c>
      <c r="M49" s="31" t="n">
        <f aca="false">RANDBETWEEN(30,180)/10</f>
        <v>13.7</v>
      </c>
      <c r="N49" s="31" t="n">
        <f aca="false">RANDBETWEEN(30,180)/10</f>
        <v>3.6</v>
      </c>
      <c r="O49" s="31" t="n">
        <f aca="false">RANDBETWEEN(30,180)/10</f>
        <v>11.1</v>
      </c>
      <c r="P49" s="31" t="n">
        <f aca="false">RANDBETWEEN(30,180)/10</f>
        <v>9.4</v>
      </c>
      <c r="Q49" s="31" t="n">
        <f aca="false">RANDBETWEEN(50,200)/10</f>
        <v>12.2</v>
      </c>
      <c r="R49" s="31" t="n">
        <f aca="false">RANDBETWEEN(50,200)/10</f>
        <v>16</v>
      </c>
      <c r="S49" s="31" t="n">
        <f aca="false">RANDBETWEEN(50,200)/10</f>
        <v>16.3</v>
      </c>
      <c r="T49" s="31" t="n">
        <f aca="false">RANDBETWEEN(50,200)/10</f>
        <v>13.9</v>
      </c>
      <c r="U49" s="31" t="n">
        <f aca="false">RANDBETWEEN(50,200)/10</f>
        <v>15.8</v>
      </c>
      <c r="V49" s="31" t="n">
        <f aca="false">RANDBETWEEN(50,200)/10</f>
        <v>8.1</v>
      </c>
      <c r="W49" s="31" t="n">
        <f aca="false">RANDBETWEEN(50,200)/10</f>
        <v>5.6</v>
      </c>
      <c r="X49" s="31" t="n">
        <f aca="false">RANDBETWEEN(50,200)/10</f>
        <v>8.5</v>
      </c>
      <c r="Y49" s="34"/>
      <c r="Z49" s="12" t="s">
        <v>172</v>
      </c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</row>
    <row r="50" s="35" customFormat="true" ht="13.8" hidden="false" customHeight="false" outlineLevel="0" collapsed="false">
      <c r="A50" s="17" t="str">
        <f aca="false">Liste!A50</f>
        <v>20150973</v>
      </c>
      <c r="B50" s="33" t="str">
        <f aca="false">Liste!B50</f>
        <v>SACRE</v>
      </c>
      <c r="C50" s="33" t="str">
        <f aca="false">Liste!C50</f>
        <v>Pierre</v>
      </c>
      <c r="D50" s="17" t="str">
        <f aca="false">Liste!D50</f>
        <v>2-B</v>
      </c>
      <c r="E50" s="34" t="n">
        <f aca="false">($G$2*G50+$H$2*H50+$I$2*I50)/$E$2*(1+Y50/200)</f>
        <v>10.6916666666667</v>
      </c>
      <c r="F50" s="17" t="n">
        <f aca="false">RANK(E50,$E$3:$E$63)</f>
        <v>50</v>
      </c>
      <c r="G50" s="34" t="n">
        <f aca="false">($J$2*J50+$K$2*K50+$L$2*L50+$M$2*M50+$N$2*N50+$O$2*O50)/$G$2</f>
        <v>8.22916666666667</v>
      </c>
      <c r="H50" s="34" t="n">
        <f aca="false">($P$2*P50+$Q$2*Q50+$R$2*R50+$S$2*S50+$T$2*T50+$U$2*U50)/$H$2</f>
        <v>11.5583333333333</v>
      </c>
      <c r="I50" s="34" t="n">
        <f aca="false">($V$2*V50+$W$2*W50+$X$2*X50)/$I$2</f>
        <v>13.8833333333333</v>
      </c>
      <c r="J50" s="34" t="n">
        <f aca="false">SE3!E50</f>
        <v>9.1</v>
      </c>
      <c r="K50" s="34" t="n">
        <f aca="false">RX2!E50</f>
        <v>8.1</v>
      </c>
      <c r="L50" s="31" t="n">
        <f aca="false">RANDBETWEEN(30,180)/10</f>
        <v>9.8</v>
      </c>
      <c r="M50" s="31" t="n">
        <f aca="false">RANDBETWEEN(30,180)/10</f>
        <v>5.6</v>
      </c>
      <c r="N50" s="31" t="n">
        <f aca="false">RANDBETWEEN(30,180)/10</f>
        <v>8.3</v>
      </c>
      <c r="O50" s="31" t="n">
        <f aca="false">RANDBETWEEN(30,180)/10</f>
        <v>9.6</v>
      </c>
      <c r="P50" s="31" t="n">
        <f aca="false">RANDBETWEEN(30,180)/10</f>
        <v>6.7</v>
      </c>
      <c r="Q50" s="31" t="n">
        <f aca="false">RANDBETWEEN(50,200)/10</f>
        <v>8</v>
      </c>
      <c r="R50" s="31" t="n">
        <f aca="false">RANDBETWEEN(50,200)/10</f>
        <v>9.5</v>
      </c>
      <c r="S50" s="31" t="n">
        <f aca="false">RANDBETWEEN(50,200)/10</f>
        <v>12.9</v>
      </c>
      <c r="T50" s="31" t="n">
        <f aca="false">RANDBETWEEN(50,200)/10</f>
        <v>11.8</v>
      </c>
      <c r="U50" s="31" t="n">
        <f aca="false">RANDBETWEEN(50,200)/10</f>
        <v>18.3</v>
      </c>
      <c r="V50" s="31" t="n">
        <f aca="false">RANDBETWEEN(50,200)/10</f>
        <v>19.8</v>
      </c>
      <c r="W50" s="31" t="n">
        <f aca="false">RANDBETWEEN(50,200)/10</f>
        <v>7.7</v>
      </c>
      <c r="X50" s="31" t="n">
        <f aca="false">RANDBETWEEN(50,200)/10</f>
        <v>8.5</v>
      </c>
      <c r="Y50" s="34"/>
      <c r="Z50" s="12" t="s">
        <v>175</v>
      </c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  <c r="AMI50" s="0"/>
      <c r="AMJ50" s="0"/>
    </row>
    <row r="51" s="35" customFormat="true" ht="13.8" hidden="false" customHeight="false" outlineLevel="0" collapsed="false">
      <c r="A51" s="17" t="str">
        <f aca="false">Liste!A51</f>
        <v>20150974</v>
      </c>
      <c r="B51" s="33" t="str">
        <f aca="false">Liste!B51</f>
        <v>SCHILLER</v>
      </c>
      <c r="C51" s="33" t="str">
        <f aca="false">Liste!C51</f>
        <v>Dylan</v>
      </c>
      <c r="D51" s="17" t="str">
        <f aca="false">Liste!D51</f>
        <v>2-C</v>
      </c>
      <c r="E51" s="34" t="n">
        <f aca="false">($G$2*G51+$H$2*H51+$I$2*I51)/$E$2*(1+Y51/200)</f>
        <v>11.05</v>
      </c>
      <c r="F51" s="17" t="n">
        <f aca="false">RANK(E51,$E$3:$E$63)</f>
        <v>43</v>
      </c>
      <c r="G51" s="34" t="n">
        <f aca="false">($J$2*J51+$K$2*K51+$L$2*L51+$M$2*M51+$N$2*N51+$O$2*O51)/$G$2</f>
        <v>9.3</v>
      </c>
      <c r="H51" s="34" t="n">
        <f aca="false">($P$2*P51+$Q$2*Q51+$R$2*R51+$S$2*S51+$T$2*T51+$U$2*U51)/$H$2</f>
        <v>11.6083333333333</v>
      </c>
      <c r="I51" s="34" t="n">
        <f aca="false">($V$2*V51+$W$2*W51+$X$2*X51)/$I$2</f>
        <v>13.4333333333333</v>
      </c>
      <c r="J51" s="34" t="n">
        <f aca="false">SE3!E51</f>
        <v>7</v>
      </c>
      <c r="K51" s="34" t="n">
        <f aca="false">RX2!E51</f>
        <v>13.3</v>
      </c>
      <c r="L51" s="31" t="n">
        <f aca="false">RANDBETWEEN(30,180)/10</f>
        <v>15</v>
      </c>
      <c r="M51" s="31" t="n">
        <f aca="false">RANDBETWEEN(30,180)/10</f>
        <v>4.1</v>
      </c>
      <c r="N51" s="31" t="n">
        <f aca="false">RANDBETWEEN(30,180)/10</f>
        <v>11.7</v>
      </c>
      <c r="O51" s="31" t="n">
        <f aca="false">RANDBETWEEN(30,180)/10</f>
        <v>8.1</v>
      </c>
      <c r="P51" s="31" t="n">
        <f aca="false">RANDBETWEEN(30,180)/10</f>
        <v>4.7</v>
      </c>
      <c r="Q51" s="31" t="n">
        <f aca="false">RANDBETWEEN(50,200)/10</f>
        <v>7.8</v>
      </c>
      <c r="R51" s="31" t="n">
        <f aca="false">RANDBETWEEN(50,200)/10</f>
        <v>13.5</v>
      </c>
      <c r="S51" s="31" t="n">
        <f aca="false">RANDBETWEEN(50,200)/10</f>
        <v>9.7</v>
      </c>
      <c r="T51" s="31" t="n">
        <f aca="false">RANDBETWEEN(50,200)/10</f>
        <v>14.9</v>
      </c>
      <c r="U51" s="31" t="n">
        <f aca="false">RANDBETWEEN(50,200)/10</f>
        <v>19.6</v>
      </c>
      <c r="V51" s="31" t="n">
        <f aca="false">RANDBETWEEN(50,200)/10</f>
        <v>13.1</v>
      </c>
      <c r="W51" s="31" t="n">
        <f aca="false">RANDBETWEEN(50,200)/10</f>
        <v>17.9</v>
      </c>
      <c r="X51" s="31" t="n">
        <f aca="false">RANDBETWEEN(50,200)/10</f>
        <v>5.5</v>
      </c>
      <c r="Y51" s="34"/>
      <c r="Z51" s="10" t="s">
        <v>178</v>
      </c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</row>
    <row r="52" s="35" customFormat="true" ht="13.8" hidden="false" customHeight="false" outlineLevel="0" collapsed="false">
      <c r="A52" s="17" t="str">
        <f aca="false">Liste!A52</f>
        <v>20150975</v>
      </c>
      <c r="B52" s="33" t="str">
        <f aca="false">Liste!B52</f>
        <v>SURET</v>
      </c>
      <c r="C52" s="33" t="str">
        <f aca="false">Liste!C52</f>
        <v>Kévin</v>
      </c>
      <c r="D52" s="17" t="str">
        <f aca="false">Liste!D52</f>
        <v>2-A</v>
      </c>
      <c r="E52" s="34" t="n">
        <f aca="false">($G$2*G52+$H$2*H52+$I$2*I52)/$E$2*(1+Y52/200)</f>
        <v>8.93833333333333</v>
      </c>
      <c r="F52" s="17" t="n">
        <f aca="false">RANK(E52,$E$3:$E$63)</f>
        <v>61</v>
      </c>
      <c r="G52" s="34" t="n">
        <f aca="false">($J$2*J52+$K$2*K52+$L$2*L52+$M$2*M52+$N$2*N52+$O$2*O52)/$G$2</f>
        <v>8.65</v>
      </c>
      <c r="H52" s="34" t="n">
        <f aca="false">($P$2*P52+$Q$2*Q52+$R$2*R52+$S$2*S52+$T$2*T52+$U$2*U52)/$H$2</f>
        <v>9.02083333333333</v>
      </c>
      <c r="I52" s="34" t="n">
        <f aca="false">($V$2*V52+$W$2*W52+$X$2*X52)/$I$2</f>
        <v>9.35</v>
      </c>
      <c r="J52" s="34" t="n">
        <f aca="false">SE3!E52</f>
        <v>5.5</v>
      </c>
      <c r="K52" s="34" t="n">
        <f aca="false">RX2!E52</f>
        <v>19</v>
      </c>
      <c r="L52" s="31" t="n">
        <f aca="false">RANDBETWEEN(30,180)/10</f>
        <v>10.7</v>
      </c>
      <c r="M52" s="31" t="n">
        <f aca="false">RANDBETWEEN(30,180)/10</f>
        <v>11.1</v>
      </c>
      <c r="N52" s="31" t="n">
        <f aca="false">RANDBETWEEN(30,180)/10</f>
        <v>5.3</v>
      </c>
      <c r="O52" s="31" t="n">
        <f aca="false">RANDBETWEEN(30,180)/10</f>
        <v>3</v>
      </c>
      <c r="P52" s="31" t="n">
        <f aca="false">RANDBETWEEN(30,180)/10</f>
        <v>6.9</v>
      </c>
      <c r="Q52" s="31" t="n">
        <f aca="false">RANDBETWEEN(50,200)/10</f>
        <v>10.1</v>
      </c>
      <c r="R52" s="31" t="n">
        <f aca="false">RANDBETWEEN(50,200)/10</f>
        <v>11.1</v>
      </c>
      <c r="S52" s="31" t="n">
        <f aca="false">RANDBETWEEN(50,200)/10</f>
        <v>5.9</v>
      </c>
      <c r="T52" s="31" t="n">
        <f aca="false">RANDBETWEEN(50,200)/10</f>
        <v>15.8</v>
      </c>
      <c r="U52" s="31" t="n">
        <f aca="false">RANDBETWEEN(50,200)/10</f>
        <v>8.3</v>
      </c>
      <c r="V52" s="31" t="n">
        <f aca="false">RANDBETWEEN(50,200)/10</f>
        <v>6.5</v>
      </c>
      <c r="W52" s="31" t="n">
        <f aca="false">RANDBETWEEN(50,200)/10</f>
        <v>14</v>
      </c>
      <c r="X52" s="31" t="n">
        <f aca="false">RANDBETWEEN(50,200)/10</f>
        <v>8.6</v>
      </c>
      <c r="Y52" s="34"/>
      <c r="Z52" s="10" t="s">
        <v>181</v>
      </c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</row>
    <row r="53" s="35" customFormat="true" ht="13.8" hidden="false" customHeight="false" outlineLevel="0" collapsed="false">
      <c r="A53" s="17" t="str">
        <f aca="false">Liste!A53</f>
        <v>20150976</v>
      </c>
      <c r="B53" s="33" t="str">
        <f aca="false">Liste!B53</f>
        <v>SZKARADEK</v>
      </c>
      <c r="C53" s="33" t="str">
        <f aca="false">Liste!C53</f>
        <v>Thibaud</v>
      </c>
      <c r="D53" s="17" t="str">
        <f aca="false">Liste!D53</f>
        <v>2-B</v>
      </c>
      <c r="E53" s="34" t="n">
        <f aca="false">($G$2*G53+$H$2*H53+$I$2*I53)/$E$2*(1+Y53/200)</f>
        <v>12.33</v>
      </c>
      <c r="F53" s="17" t="n">
        <f aca="false">RANK(E53,$E$3:$E$63)</f>
        <v>20</v>
      </c>
      <c r="G53" s="34" t="n">
        <f aca="false">($J$2*J53+$K$2*K53+$L$2*L53+$M$2*M53+$N$2*N53+$O$2*O53)/$G$2</f>
        <v>13.8666666666667</v>
      </c>
      <c r="H53" s="34" t="n">
        <f aca="false">($P$2*P53+$Q$2*Q53+$R$2*R53+$S$2*S53+$T$2*T53+$U$2*U53)/$H$2</f>
        <v>11.8083333333333</v>
      </c>
      <c r="I53" s="34" t="n">
        <f aca="false">($V$2*V53+$W$2*W53+$X$2*X53)/$I$2</f>
        <v>10.3</v>
      </c>
      <c r="J53" s="34" t="n">
        <f aca="false">SE3!E53</f>
        <v>13.9</v>
      </c>
      <c r="K53" s="34" t="n">
        <f aca="false">RX2!E53</f>
        <v>15.5</v>
      </c>
      <c r="L53" s="31" t="n">
        <f aca="false">RANDBETWEEN(30,180)/10</f>
        <v>14.6</v>
      </c>
      <c r="M53" s="31" t="n">
        <f aca="false">RANDBETWEEN(30,180)/10</f>
        <v>12.9</v>
      </c>
      <c r="N53" s="31" t="n">
        <f aca="false">RANDBETWEEN(30,180)/10</f>
        <v>15.1</v>
      </c>
      <c r="O53" s="31" t="n">
        <f aca="false">RANDBETWEEN(30,180)/10</f>
        <v>11</v>
      </c>
      <c r="P53" s="31" t="n">
        <f aca="false">RANDBETWEEN(30,180)/10</f>
        <v>9.5</v>
      </c>
      <c r="Q53" s="31" t="n">
        <f aca="false">RANDBETWEEN(50,200)/10</f>
        <v>12</v>
      </c>
      <c r="R53" s="31" t="n">
        <f aca="false">RANDBETWEEN(50,200)/10</f>
        <v>6.7</v>
      </c>
      <c r="S53" s="31" t="n">
        <f aca="false">RANDBETWEEN(50,200)/10</f>
        <v>12.5</v>
      </c>
      <c r="T53" s="31" t="n">
        <f aca="false">RANDBETWEEN(50,200)/10</f>
        <v>6.1</v>
      </c>
      <c r="U53" s="31" t="n">
        <f aca="false">RANDBETWEEN(50,200)/10</f>
        <v>19.8</v>
      </c>
      <c r="V53" s="31" t="n">
        <f aca="false">RANDBETWEEN(50,200)/10</f>
        <v>5.6</v>
      </c>
      <c r="W53" s="31" t="n">
        <f aca="false">RANDBETWEEN(50,200)/10</f>
        <v>16.6</v>
      </c>
      <c r="X53" s="31" t="n">
        <f aca="false">RANDBETWEEN(50,200)/10</f>
        <v>11.8</v>
      </c>
      <c r="Y53" s="34"/>
      <c r="Z53" s="12" t="s">
        <v>183</v>
      </c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  <c r="AMI53" s="0"/>
      <c r="AMJ53" s="0"/>
    </row>
    <row r="54" s="35" customFormat="true" ht="13.8" hidden="false" customHeight="false" outlineLevel="0" collapsed="false">
      <c r="A54" s="17" t="str">
        <f aca="false">Liste!A54</f>
        <v>20150977</v>
      </c>
      <c r="B54" s="33" t="str">
        <f aca="false">Liste!B54</f>
        <v>SZYMURA</v>
      </c>
      <c r="C54" s="33" t="str">
        <f aca="false">Liste!C54</f>
        <v>Alexandre</v>
      </c>
      <c r="D54" s="17" t="str">
        <f aca="false">Liste!D54</f>
        <v>2-C</v>
      </c>
      <c r="E54" s="34" t="n">
        <f aca="false">($G$2*G54+$H$2*H54+$I$2*I54)/$E$2*(1+Y54/200)</f>
        <v>13.41</v>
      </c>
      <c r="F54" s="17" t="n">
        <f aca="false">RANK(E54,$E$3:$E$63)</f>
        <v>4</v>
      </c>
      <c r="G54" s="34" t="n">
        <f aca="false">($J$2*J54+$K$2*K54+$L$2*L54+$M$2*M54+$N$2*N54+$O$2*O54)/$G$2</f>
        <v>10.9291666666667</v>
      </c>
      <c r="H54" s="34" t="n">
        <f aca="false">($P$2*P54+$Q$2*Q54+$R$2*R54+$S$2*S54+$T$2*T54+$U$2*U54)/$H$2</f>
        <v>15.1291666666667</v>
      </c>
      <c r="I54" s="34" t="n">
        <f aca="false">($V$2*V54+$W$2*W54+$X$2*X54)/$I$2</f>
        <v>14.9333333333333</v>
      </c>
      <c r="J54" s="34" t="n">
        <f aca="false">SE3!E54</f>
        <v>7.7</v>
      </c>
      <c r="K54" s="34" t="n">
        <f aca="false">RX2!E54</f>
        <v>17.5</v>
      </c>
      <c r="L54" s="31" t="n">
        <f aca="false">RANDBETWEEN(30,180)/10</f>
        <v>13.9</v>
      </c>
      <c r="M54" s="31" t="n">
        <f aca="false">RANDBETWEEN(30,180)/10</f>
        <v>7.6</v>
      </c>
      <c r="N54" s="31" t="n">
        <f aca="false">RANDBETWEEN(30,180)/10</f>
        <v>12.5</v>
      </c>
      <c r="O54" s="31" t="n">
        <f aca="false">RANDBETWEEN(30,180)/10</f>
        <v>9.7</v>
      </c>
      <c r="P54" s="31" t="n">
        <f aca="false">RANDBETWEEN(30,180)/10</f>
        <v>17.1</v>
      </c>
      <c r="Q54" s="31" t="n">
        <f aca="false">RANDBETWEEN(50,200)/10</f>
        <v>17.5</v>
      </c>
      <c r="R54" s="31" t="n">
        <f aca="false">RANDBETWEEN(50,200)/10</f>
        <v>18.9</v>
      </c>
      <c r="S54" s="31" t="n">
        <f aca="false">RANDBETWEEN(50,200)/10</f>
        <v>6.2</v>
      </c>
      <c r="T54" s="31" t="n">
        <f aca="false">RANDBETWEEN(50,200)/10</f>
        <v>18.8</v>
      </c>
      <c r="U54" s="31" t="n">
        <f aca="false">RANDBETWEEN(50,200)/10</f>
        <v>16.2</v>
      </c>
      <c r="V54" s="31" t="n">
        <f aca="false">RANDBETWEEN(50,200)/10</f>
        <v>15.6</v>
      </c>
      <c r="W54" s="31" t="n">
        <f aca="false">RANDBETWEEN(50,200)/10</f>
        <v>13.7</v>
      </c>
      <c r="X54" s="31" t="n">
        <f aca="false">RANDBETWEEN(50,200)/10</f>
        <v>15.4</v>
      </c>
      <c r="Y54" s="34"/>
      <c r="Z54" s="10" t="s">
        <v>187</v>
      </c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  <c r="AMI54" s="0"/>
      <c r="AMJ54" s="0"/>
    </row>
    <row r="55" s="35" customFormat="true" ht="13.8" hidden="false" customHeight="false" outlineLevel="0" collapsed="false">
      <c r="A55" s="17" t="str">
        <f aca="false">Liste!A55</f>
        <v>20150978</v>
      </c>
      <c r="B55" s="33" t="str">
        <f aca="false">Liste!B55</f>
        <v>TANG</v>
      </c>
      <c r="C55" s="33" t="str">
        <f aca="false">Liste!C55</f>
        <v>Frédéric</v>
      </c>
      <c r="D55" s="17" t="str">
        <f aca="false">Liste!D55</f>
        <v>2-C</v>
      </c>
      <c r="E55" s="34" t="n">
        <f aca="false">($G$2*G55+$H$2*H55+$I$2*I55)/$E$2*(1+Y55/200)</f>
        <v>10.995</v>
      </c>
      <c r="F55" s="17" t="n">
        <f aca="false">RANK(E55,$E$3:$E$63)</f>
        <v>44</v>
      </c>
      <c r="G55" s="34" t="n">
        <f aca="false">($J$2*J55+$K$2*K55+$L$2*L55+$M$2*M55+$N$2*N55+$O$2*O55)/$G$2</f>
        <v>12.5458333333333</v>
      </c>
      <c r="H55" s="34" t="n">
        <f aca="false">($P$2*P55+$Q$2*Q55+$R$2*R55+$S$2*S55+$T$2*T55+$U$2*U55)/$H$2</f>
        <v>10.6916666666667</v>
      </c>
      <c r="I55" s="34" t="n">
        <f aca="false">($V$2*V55+$W$2*W55+$X$2*X55)/$I$2</f>
        <v>8.5</v>
      </c>
      <c r="J55" s="34" t="n">
        <f aca="false">SE3!E55</f>
        <v>10</v>
      </c>
      <c r="K55" s="34" t="n">
        <f aca="false">RX2!E55</f>
        <v>16</v>
      </c>
      <c r="L55" s="31" t="n">
        <f aca="false">RANDBETWEEN(30,180)/10</f>
        <v>10.3</v>
      </c>
      <c r="M55" s="31" t="n">
        <f aca="false">RANDBETWEEN(30,180)/10</f>
        <v>10.6</v>
      </c>
      <c r="N55" s="31" t="n">
        <f aca="false">RANDBETWEEN(30,180)/10</f>
        <v>14</v>
      </c>
      <c r="O55" s="31" t="n">
        <f aca="false">RANDBETWEEN(30,180)/10</f>
        <v>16.4</v>
      </c>
      <c r="P55" s="31" t="n">
        <f aca="false">RANDBETWEEN(30,180)/10</f>
        <v>6.1</v>
      </c>
      <c r="Q55" s="31" t="n">
        <f aca="false">RANDBETWEEN(50,200)/10</f>
        <v>19.8</v>
      </c>
      <c r="R55" s="31" t="n">
        <f aca="false">RANDBETWEEN(50,200)/10</f>
        <v>10</v>
      </c>
      <c r="S55" s="31" t="n">
        <f aca="false">RANDBETWEEN(50,200)/10</f>
        <v>10</v>
      </c>
      <c r="T55" s="31" t="n">
        <f aca="false">RANDBETWEEN(50,200)/10</f>
        <v>19.9</v>
      </c>
      <c r="U55" s="31" t="n">
        <f aca="false">RANDBETWEEN(50,200)/10</f>
        <v>5.4</v>
      </c>
      <c r="V55" s="31" t="n">
        <f aca="false">RANDBETWEEN(50,200)/10</f>
        <v>6.6</v>
      </c>
      <c r="W55" s="31" t="n">
        <f aca="false">RANDBETWEEN(50,200)/10</f>
        <v>7.8</v>
      </c>
      <c r="X55" s="31" t="n">
        <f aca="false">RANDBETWEEN(50,200)/10</f>
        <v>15.6</v>
      </c>
      <c r="Y55" s="34"/>
      <c r="Z55" s="10" t="s">
        <v>189</v>
      </c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  <c r="AMI55" s="0"/>
      <c r="AMJ55" s="0"/>
    </row>
    <row r="56" s="35" customFormat="true" ht="13.8" hidden="false" customHeight="false" outlineLevel="0" collapsed="false">
      <c r="A56" s="17" t="str">
        <f aca="false">Liste!A56</f>
        <v>20150979</v>
      </c>
      <c r="B56" s="33" t="str">
        <f aca="false">Liste!B56</f>
        <v>TASSART</v>
      </c>
      <c r="C56" s="33" t="str">
        <f aca="false">Liste!C56</f>
        <v>Alexandre</v>
      </c>
      <c r="D56" s="17" t="str">
        <f aca="false">Liste!D56</f>
        <v>2-B</v>
      </c>
      <c r="E56" s="34" t="n">
        <f aca="false">($G$2*G56+$H$2*H56+$I$2*I56)/$E$2*(1+Y56/200)</f>
        <v>13.1516666666667</v>
      </c>
      <c r="F56" s="17" t="n">
        <f aca="false">RANK(E56,$E$3:$E$63)</f>
        <v>6</v>
      </c>
      <c r="G56" s="34" t="n">
        <f aca="false">($J$2*J56+$K$2*K56+$L$2*L56+$M$2*M56+$N$2*N56+$O$2*O56)/$G$2</f>
        <v>9.83333333333333</v>
      </c>
      <c r="H56" s="34" t="n">
        <f aca="false">($P$2*P56+$Q$2*Q56+$R$2*R56+$S$2*S56+$T$2*T56+$U$2*U56)/$H$2</f>
        <v>15.9458333333333</v>
      </c>
      <c r="I56" s="34" t="n">
        <f aca="false">($V$2*V56+$W$2*W56+$X$2*X56)/$I$2</f>
        <v>14.2</v>
      </c>
      <c r="J56" s="34" t="n">
        <f aca="false">SE3!E56</f>
        <v>16.4</v>
      </c>
      <c r="K56" s="34" t="n">
        <f aca="false">RX2!E56</f>
        <v>19.8</v>
      </c>
      <c r="L56" s="31" t="n">
        <f aca="false">RANDBETWEEN(30,180)/10</f>
        <v>6.8</v>
      </c>
      <c r="M56" s="31" t="n">
        <f aca="false">RANDBETWEEN(30,180)/10</f>
        <v>6.9</v>
      </c>
      <c r="N56" s="31" t="n">
        <f aca="false">RANDBETWEEN(30,180)/10</f>
        <v>4.7</v>
      </c>
      <c r="O56" s="31" t="n">
        <f aca="false">RANDBETWEEN(30,180)/10</f>
        <v>5.4</v>
      </c>
      <c r="P56" s="31" t="n">
        <f aca="false">RANDBETWEEN(30,180)/10</f>
        <v>13.7</v>
      </c>
      <c r="Q56" s="31" t="n">
        <f aca="false">RANDBETWEEN(50,200)/10</f>
        <v>16.4</v>
      </c>
      <c r="R56" s="31" t="n">
        <f aca="false">RANDBETWEEN(50,200)/10</f>
        <v>19.6</v>
      </c>
      <c r="S56" s="31" t="n">
        <f aca="false">RANDBETWEEN(50,200)/10</f>
        <v>15.1</v>
      </c>
      <c r="T56" s="31" t="n">
        <f aca="false">RANDBETWEEN(50,200)/10</f>
        <v>14.4</v>
      </c>
      <c r="U56" s="31" t="n">
        <f aca="false">RANDBETWEEN(50,200)/10</f>
        <v>17.5</v>
      </c>
      <c r="V56" s="31" t="n">
        <f aca="false">RANDBETWEEN(50,200)/10</f>
        <v>19.7</v>
      </c>
      <c r="W56" s="31" t="n">
        <f aca="false">RANDBETWEEN(50,200)/10</f>
        <v>9.9</v>
      </c>
      <c r="X56" s="31" t="n">
        <f aca="false">RANDBETWEEN(50,200)/10</f>
        <v>6.3</v>
      </c>
      <c r="Y56" s="34"/>
      <c r="Z56" s="12" t="s">
        <v>192</v>
      </c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  <c r="AMI56" s="0"/>
      <c r="AMJ56" s="0"/>
    </row>
    <row r="57" s="35" customFormat="true" ht="13.8" hidden="false" customHeight="false" outlineLevel="0" collapsed="false">
      <c r="A57" s="17" t="str">
        <f aca="false">Liste!A57</f>
        <v>20150980</v>
      </c>
      <c r="B57" s="33" t="str">
        <f aca="false">Liste!B57</f>
        <v>THERAGE</v>
      </c>
      <c r="C57" s="33" t="str">
        <f aca="false">Liste!C57</f>
        <v>Lucas</v>
      </c>
      <c r="D57" s="17" t="str">
        <f aca="false">Liste!D57</f>
        <v>2-A</v>
      </c>
      <c r="E57" s="34" t="n">
        <f aca="false">($G$2*G57+$H$2*H57+$I$2*I57)/$E$2*(1+Y57/200)</f>
        <v>12.21</v>
      </c>
      <c r="F57" s="17" t="n">
        <f aca="false">RANK(E57,$E$3:$E$63)</f>
        <v>22</v>
      </c>
      <c r="G57" s="34" t="n">
        <f aca="false">($J$2*J57+$K$2*K57+$L$2*L57+$M$2*M57+$N$2*N57+$O$2*O57)/$G$2</f>
        <v>12.4125</v>
      </c>
      <c r="H57" s="34" t="n">
        <f aca="false">($P$2*P57+$Q$2*Q57+$R$2*R57+$S$2*S57+$T$2*T57+$U$2*U57)/$H$2</f>
        <v>10.6625</v>
      </c>
      <c r="I57" s="34" t="n">
        <f aca="false">($V$2*V57+$W$2*W57+$X$2*X57)/$I$2</f>
        <v>14.9</v>
      </c>
      <c r="J57" s="34" t="n">
        <f aca="false">SE3!E57</f>
        <v>12.3</v>
      </c>
      <c r="K57" s="34" t="n">
        <f aca="false">RX2!E57</f>
        <v>8.5</v>
      </c>
      <c r="L57" s="31" t="n">
        <f aca="false">RANDBETWEEN(30,180)/10</f>
        <v>7.4</v>
      </c>
      <c r="M57" s="31" t="n">
        <f aca="false">RANDBETWEEN(30,180)/10</f>
        <v>14.4</v>
      </c>
      <c r="N57" s="31" t="n">
        <f aca="false">RANDBETWEEN(30,180)/10</f>
        <v>17.7</v>
      </c>
      <c r="O57" s="31" t="n">
        <f aca="false">RANDBETWEEN(30,180)/10</f>
        <v>9.4</v>
      </c>
      <c r="P57" s="31" t="n">
        <f aca="false">RANDBETWEEN(30,180)/10</f>
        <v>5.5</v>
      </c>
      <c r="Q57" s="31" t="n">
        <f aca="false">RANDBETWEEN(50,200)/10</f>
        <v>11.6</v>
      </c>
      <c r="R57" s="31" t="n">
        <f aca="false">RANDBETWEEN(50,200)/10</f>
        <v>12.3</v>
      </c>
      <c r="S57" s="31" t="n">
        <f aca="false">RANDBETWEEN(50,200)/10</f>
        <v>16.2</v>
      </c>
      <c r="T57" s="31" t="n">
        <f aca="false">RANDBETWEEN(50,200)/10</f>
        <v>8.4</v>
      </c>
      <c r="U57" s="31" t="n">
        <f aca="false">RANDBETWEEN(50,200)/10</f>
        <v>10.1</v>
      </c>
      <c r="V57" s="31" t="n">
        <f aca="false">RANDBETWEEN(50,200)/10</f>
        <v>15.6</v>
      </c>
      <c r="W57" s="31" t="n">
        <f aca="false">RANDBETWEEN(50,200)/10</f>
        <v>15.1</v>
      </c>
      <c r="X57" s="31" t="n">
        <f aca="false">RANDBETWEEN(50,200)/10</f>
        <v>12.4</v>
      </c>
      <c r="Y57" s="34"/>
      <c r="Z57" s="10" t="s">
        <v>195</v>
      </c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  <c r="AMI57" s="0"/>
      <c r="AMJ57" s="0"/>
    </row>
    <row r="58" s="35" customFormat="true" ht="13.8" hidden="false" customHeight="false" outlineLevel="0" collapsed="false">
      <c r="A58" s="17" t="str">
        <f aca="false">Liste!A58</f>
        <v>20150981</v>
      </c>
      <c r="B58" s="33" t="str">
        <f aca="false">Liste!B58</f>
        <v>THOMAS</v>
      </c>
      <c r="C58" s="33" t="str">
        <f aca="false">Liste!C58</f>
        <v>Louis</v>
      </c>
      <c r="D58" s="17" t="str">
        <f aca="false">Liste!D58</f>
        <v>2-B</v>
      </c>
      <c r="E58" s="34" t="n">
        <f aca="false">($G$2*G58+$H$2*H58+$I$2*I58)/$E$2*(1+Y58/200)</f>
        <v>13.662325</v>
      </c>
      <c r="F58" s="17" t="n">
        <f aca="false">RANK(E58,$E$3:$E$63)</f>
        <v>3</v>
      </c>
      <c r="G58" s="34" t="n">
        <f aca="false">($J$2*J58+$K$2*K58+$L$2*L58+$M$2*M58+$N$2*N58+$O$2*O58)/$G$2</f>
        <v>13.4875</v>
      </c>
      <c r="H58" s="34" t="n">
        <f aca="false">($P$2*P58+$Q$2*Q58+$R$2*R58+$S$2*S58+$T$2*T58+$U$2*U58)/$H$2</f>
        <v>15.0458333333333</v>
      </c>
      <c r="I58" s="34" t="n">
        <f aca="false">($V$2*V58+$W$2*W58+$X$2*X58)/$I$2</f>
        <v>9.41666666666667</v>
      </c>
      <c r="J58" s="34" t="n">
        <f aca="false">SE3!E58</f>
        <v>20</v>
      </c>
      <c r="K58" s="34" t="n">
        <f aca="false">RX2!E58</f>
        <v>13</v>
      </c>
      <c r="L58" s="31" t="n">
        <f aca="false">RANDBETWEEN(30,180)/10</f>
        <v>7</v>
      </c>
      <c r="M58" s="31" t="n">
        <f aca="false">RANDBETWEEN(30,180)/10</f>
        <v>15.6</v>
      </c>
      <c r="N58" s="31" t="n">
        <f aca="false">RANDBETWEEN(30,180)/10</f>
        <v>7</v>
      </c>
      <c r="O58" s="31" t="n">
        <f aca="false">RANDBETWEEN(30,180)/10</f>
        <v>16.9</v>
      </c>
      <c r="P58" s="31" t="n">
        <f aca="false">RANDBETWEEN(30,180)/10</f>
        <v>14.5</v>
      </c>
      <c r="Q58" s="31" t="n">
        <f aca="false">RANDBETWEEN(50,200)/10</f>
        <v>18.5</v>
      </c>
      <c r="R58" s="31" t="n">
        <f aca="false">RANDBETWEEN(50,200)/10</f>
        <v>19.1</v>
      </c>
      <c r="S58" s="31" t="n">
        <f aca="false">RANDBETWEEN(50,200)/10</f>
        <v>17.7</v>
      </c>
      <c r="T58" s="31" t="n">
        <f aca="false">RANDBETWEEN(50,200)/10</f>
        <v>12.1</v>
      </c>
      <c r="U58" s="31" t="n">
        <f aca="false">RANDBETWEEN(50,200)/10</f>
        <v>10.2</v>
      </c>
      <c r="V58" s="31" t="n">
        <f aca="false">RANDBETWEEN(50,200)/10</f>
        <v>6.4</v>
      </c>
      <c r="W58" s="31" t="n">
        <f aca="false">RANDBETWEEN(50,200)/10</f>
        <v>12.7</v>
      </c>
      <c r="X58" s="31" t="n">
        <f aca="false">RANDBETWEEN(50,200)/10</f>
        <v>11.9</v>
      </c>
      <c r="Y58" s="34" t="n">
        <v>5.5</v>
      </c>
      <c r="Z58" s="12" t="s">
        <v>198</v>
      </c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  <c r="AMI58" s="0"/>
      <c r="AMJ58" s="0"/>
    </row>
    <row r="59" s="35" customFormat="true" ht="13.8" hidden="false" customHeight="false" outlineLevel="0" collapsed="false">
      <c r="A59" s="17" t="str">
        <f aca="false">Liste!A59</f>
        <v>20150982</v>
      </c>
      <c r="B59" s="33" t="str">
        <f aca="false">Liste!B59</f>
        <v>VANDEWOORDE</v>
      </c>
      <c r="C59" s="33" t="str">
        <f aca="false">Liste!C59</f>
        <v>Aymeric</v>
      </c>
      <c r="D59" s="17" t="str">
        <f aca="false">Liste!D59</f>
        <v>2-B</v>
      </c>
      <c r="E59" s="34" t="n">
        <f aca="false">($G$2*G59+$H$2*H59+$I$2*I59)/$E$2*(1+Y59/200)</f>
        <v>11.92</v>
      </c>
      <c r="F59" s="17" t="n">
        <f aca="false">RANK(E59,$E$3:$E$63)</f>
        <v>26</v>
      </c>
      <c r="G59" s="34" t="n">
        <f aca="false">($J$2*J59+$K$2*K59+$L$2*L59+$M$2*M59+$N$2*N59+$O$2*O59)/$G$2</f>
        <v>12.8208333333333</v>
      </c>
      <c r="H59" s="34" t="n">
        <f aca="false">($P$2*P59+$Q$2*Q59+$R$2*R59+$S$2*S59+$T$2*T59+$U$2*U59)/$H$2</f>
        <v>10.2375</v>
      </c>
      <c r="I59" s="34" t="n">
        <f aca="false">($V$2*V59+$W$2*W59+$X$2*X59)/$I$2</f>
        <v>13.4833333333333</v>
      </c>
      <c r="J59" s="34" t="n">
        <f aca="false">SE3!E59</f>
        <v>16.8</v>
      </c>
      <c r="K59" s="34" t="n">
        <f aca="false">RX2!E59</f>
        <v>5.6</v>
      </c>
      <c r="L59" s="31" t="n">
        <f aca="false">RANDBETWEEN(30,180)/10</f>
        <v>9.1</v>
      </c>
      <c r="M59" s="31" t="n">
        <f aca="false">RANDBETWEEN(30,180)/10</f>
        <v>10.4</v>
      </c>
      <c r="N59" s="31" t="n">
        <f aca="false">RANDBETWEEN(30,180)/10</f>
        <v>17.9</v>
      </c>
      <c r="O59" s="31" t="n">
        <f aca="false">RANDBETWEEN(30,180)/10</f>
        <v>12.7</v>
      </c>
      <c r="P59" s="31" t="n">
        <f aca="false">RANDBETWEEN(30,180)/10</f>
        <v>4.3</v>
      </c>
      <c r="Q59" s="31" t="n">
        <f aca="false">RANDBETWEEN(50,200)/10</f>
        <v>11.4</v>
      </c>
      <c r="R59" s="31" t="n">
        <f aca="false">RANDBETWEEN(50,200)/10</f>
        <v>13.2</v>
      </c>
      <c r="S59" s="31" t="n">
        <f aca="false">RANDBETWEEN(50,200)/10</f>
        <v>14.3</v>
      </c>
      <c r="T59" s="31" t="n">
        <f aca="false">RANDBETWEEN(50,200)/10</f>
        <v>8.3</v>
      </c>
      <c r="U59" s="31" t="n">
        <f aca="false">RANDBETWEEN(50,200)/10</f>
        <v>10.8</v>
      </c>
      <c r="V59" s="31" t="n">
        <f aca="false">RANDBETWEEN(50,200)/10</f>
        <v>9.4</v>
      </c>
      <c r="W59" s="31" t="n">
        <f aca="false">RANDBETWEEN(50,200)/10</f>
        <v>19.1</v>
      </c>
      <c r="X59" s="31" t="n">
        <f aca="false">RANDBETWEEN(50,200)/10</f>
        <v>14.5</v>
      </c>
      <c r="Y59" s="34"/>
      <c r="Z59" s="12" t="s">
        <v>201</v>
      </c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  <c r="AMI59" s="0"/>
      <c r="AMJ59" s="0"/>
    </row>
    <row r="60" s="35" customFormat="true" ht="13.8" hidden="false" customHeight="false" outlineLevel="0" collapsed="false">
      <c r="A60" s="17" t="str">
        <f aca="false">Liste!A60</f>
        <v>20150983</v>
      </c>
      <c r="B60" s="33" t="str">
        <f aca="false">Liste!B60</f>
        <v>VANROY</v>
      </c>
      <c r="C60" s="33" t="str">
        <f aca="false">Liste!C60</f>
        <v>Julien</v>
      </c>
      <c r="D60" s="17" t="str">
        <f aca="false">Liste!D60</f>
        <v>2-A</v>
      </c>
      <c r="E60" s="34" t="n">
        <f aca="false">($G$2*G60+$H$2*H60+$I$2*I60)/$E$2*(1+Y60/200)</f>
        <v>13.07</v>
      </c>
      <c r="F60" s="17" t="n">
        <f aca="false">RANK(E60,$E$3:$E$63)</f>
        <v>7</v>
      </c>
      <c r="G60" s="34" t="n">
        <f aca="false">($J$2*J60+$K$2*K60+$L$2*L60+$M$2*M60+$N$2*N60+$O$2*O60)/$G$2</f>
        <v>14.6291666666667</v>
      </c>
      <c r="H60" s="34" t="n">
        <f aca="false">($P$2*P60+$Q$2*Q60+$R$2*R60+$S$2*S60+$T$2*T60+$U$2*U60)/$H$2</f>
        <v>14.3625</v>
      </c>
      <c r="I60" s="34" t="n">
        <f aca="false">($V$2*V60+$W$2*W60+$X$2*X60)/$I$2</f>
        <v>7.36666666666667</v>
      </c>
      <c r="J60" s="34" t="n">
        <f aca="false">SE3!E60</f>
        <v>17.7</v>
      </c>
      <c r="K60" s="34" t="n">
        <f aca="false">RX2!E60</f>
        <v>9.7</v>
      </c>
      <c r="L60" s="31" t="n">
        <f aca="false">RANDBETWEEN(30,180)/10</f>
        <v>17.5</v>
      </c>
      <c r="M60" s="31" t="n">
        <f aca="false">RANDBETWEEN(30,180)/10</f>
        <v>18</v>
      </c>
      <c r="N60" s="31" t="n">
        <f aca="false">RANDBETWEEN(30,180)/10</f>
        <v>9.8</v>
      </c>
      <c r="O60" s="31" t="n">
        <f aca="false">RANDBETWEEN(30,180)/10</f>
        <v>14</v>
      </c>
      <c r="P60" s="31" t="n">
        <f aca="false">RANDBETWEEN(30,180)/10</f>
        <v>10.5</v>
      </c>
      <c r="Q60" s="31" t="n">
        <f aca="false">RANDBETWEEN(50,200)/10</f>
        <v>18.9</v>
      </c>
      <c r="R60" s="31" t="n">
        <f aca="false">RANDBETWEEN(50,200)/10</f>
        <v>18.9</v>
      </c>
      <c r="S60" s="31" t="n">
        <f aca="false">RANDBETWEEN(50,200)/10</f>
        <v>12.5</v>
      </c>
      <c r="T60" s="31" t="n">
        <f aca="false">RANDBETWEEN(50,200)/10</f>
        <v>6.1</v>
      </c>
      <c r="U60" s="31" t="n">
        <f aca="false">RANDBETWEEN(50,200)/10</f>
        <v>19.6</v>
      </c>
      <c r="V60" s="31" t="n">
        <f aca="false">RANDBETWEEN(50,200)/10</f>
        <v>5.1</v>
      </c>
      <c r="W60" s="31" t="n">
        <f aca="false">RANDBETWEEN(50,200)/10</f>
        <v>6</v>
      </c>
      <c r="X60" s="31" t="n">
        <f aca="false">RANDBETWEEN(50,200)/10</f>
        <v>16.9</v>
      </c>
      <c r="Y60" s="34"/>
      <c r="Z60" s="10" t="s">
        <v>205</v>
      </c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  <c r="AMI60" s="0"/>
      <c r="AMJ60" s="0"/>
    </row>
    <row r="61" s="35" customFormat="true" ht="13.8" hidden="false" customHeight="false" outlineLevel="0" collapsed="false">
      <c r="A61" s="17" t="str">
        <f aca="false">Liste!A61</f>
        <v>20150984</v>
      </c>
      <c r="B61" s="33" t="str">
        <f aca="false">Liste!B61</f>
        <v>VELLA</v>
      </c>
      <c r="C61" s="33" t="str">
        <f aca="false">Liste!C61</f>
        <v>Emanuele</v>
      </c>
      <c r="D61" s="17" t="str">
        <f aca="false">Liste!D61</f>
        <v>2-C</v>
      </c>
      <c r="E61" s="34" t="n">
        <f aca="false">($G$2*G61+$H$2*H61+$I$2*I61)/$E$2*(1+Y61/200)</f>
        <v>11.155</v>
      </c>
      <c r="F61" s="17" t="n">
        <f aca="false">RANK(E61,$E$3:$E$63)</f>
        <v>39</v>
      </c>
      <c r="G61" s="34" t="n">
        <f aca="false">($J$2*J61+$K$2*K61+$L$2*L61+$M$2*M61+$N$2*N61+$O$2*O61)/$G$2</f>
        <v>9.86666666666667</v>
      </c>
      <c r="H61" s="34" t="n">
        <f aca="false">($P$2*P61+$Q$2*Q61+$R$2*R61+$S$2*S61+$T$2*T61+$U$2*U61)/$H$2</f>
        <v>11.0375</v>
      </c>
      <c r="I61" s="34" t="n">
        <f aca="false">($V$2*V61+$W$2*W61+$X$2*X61)/$I$2</f>
        <v>13.9666666666667</v>
      </c>
      <c r="J61" s="34" t="n">
        <f aca="false">SE3!E61</f>
        <v>11.9</v>
      </c>
      <c r="K61" s="34" t="n">
        <f aca="false">RX2!E61</f>
        <v>11.7</v>
      </c>
      <c r="L61" s="31" t="n">
        <f aca="false">RANDBETWEEN(30,180)/10</f>
        <v>7.6</v>
      </c>
      <c r="M61" s="31" t="n">
        <f aca="false">RANDBETWEEN(30,180)/10</f>
        <v>13.5</v>
      </c>
      <c r="N61" s="31" t="n">
        <f aca="false">RANDBETWEEN(30,180)/10</f>
        <v>6.3</v>
      </c>
      <c r="O61" s="31" t="n">
        <f aca="false">RANDBETWEEN(30,180)/10</f>
        <v>6.8</v>
      </c>
      <c r="P61" s="31" t="n">
        <f aca="false">RANDBETWEEN(30,180)/10</f>
        <v>9.6</v>
      </c>
      <c r="Q61" s="31" t="n">
        <f aca="false">RANDBETWEEN(50,200)/10</f>
        <v>7.3</v>
      </c>
      <c r="R61" s="31" t="n">
        <f aca="false">RANDBETWEEN(50,200)/10</f>
        <v>9.3</v>
      </c>
      <c r="S61" s="31" t="n">
        <f aca="false">RANDBETWEEN(50,200)/10</f>
        <v>19.9</v>
      </c>
      <c r="T61" s="31" t="n">
        <f aca="false">RANDBETWEEN(50,200)/10</f>
        <v>9.2</v>
      </c>
      <c r="U61" s="31" t="n">
        <f aca="false">RANDBETWEEN(50,200)/10</f>
        <v>8</v>
      </c>
      <c r="V61" s="31" t="n">
        <f aca="false">RANDBETWEEN(50,200)/10</f>
        <v>17.8</v>
      </c>
      <c r="W61" s="31" t="n">
        <f aca="false">RANDBETWEEN(50,200)/10</f>
        <v>5.2</v>
      </c>
      <c r="X61" s="31" t="n">
        <f aca="false">RANDBETWEEN(50,200)/10</f>
        <v>20</v>
      </c>
      <c r="Y61" s="34"/>
      <c r="Z61" s="10" t="s">
        <v>208</v>
      </c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  <c r="AMI61" s="0"/>
      <c r="AMJ61" s="0"/>
    </row>
    <row r="62" s="35" customFormat="true" ht="13.8" hidden="false" customHeight="false" outlineLevel="0" collapsed="false">
      <c r="A62" s="17" t="str">
        <f aca="false">Liste!A62</f>
        <v>20150985</v>
      </c>
      <c r="B62" s="33" t="str">
        <f aca="false">Liste!B62</f>
        <v>VERPOEST</v>
      </c>
      <c r="C62" s="33" t="str">
        <f aca="false">Liste!C62</f>
        <v>Sylvain</v>
      </c>
      <c r="D62" s="17" t="str">
        <f aca="false">Liste!D62</f>
        <v>2-A</v>
      </c>
      <c r="E62" s="34" t="n">
        <f aca="false">($G$2*G62+$H$2*H62+$I$2*I62)/$E$2*(1+Y62/200)</f>
        <v>12.0166666666667</v>
      </c>
      <c r="F62" s="17" t="n">
        <f aca="false">RANK(E62,$E$3:$E$63)</f>
        <v>24</v>
      </c>
      <c r="G62" s="34" t="n">
        <f aca="false">($J$2*J62+$K$2*K62+$L$2*L62+$M$2*M62+$N$2*N62+$O$2*O62)/$G$2</f>
        <v>9.85416666666667</v>
      </c>
      <c r="H62" s="34" t="n">
        <f aca="false">($P$2*P62+$Q$2*Q62+$R$2*R62+$S$2*S62+$T$2*T62+$U$2*U62)/$H$2</f>
        <v>13.5791666666667</v>
      </c>
      <c r="I62" s="34" t="n">
        <f aca="false">($V$2*V62+$W$2*W62+$X$2*X62)/$I$2</f>
        <v>13.2166666666667</v>
      </c>
      <c r="J62" s="34" t="n">
        <f aca="false">SE3!E62</f>
        <v>12.1</v>
      </c>
      <c r="K62" s="34" t="n">
        <f aca="false">RX2!E62</f>
        <v>12.1</v>
      </c>
      <c r="L62" s="31" t="n">
        <f aca="false">RANDBETWEEN(30,180)/10</f>
        <v>3.7</v>
      </c>
      <c r="M62" s="31" t="n">
        <f aca="false">RANDBETWEEN(30,180)/10</f>
        <v>5.6</v>
      </c>
      <c r="N62" s="31" t="n">
        <f aca="false">RANDBETWEEN(30,180)/10</f>
        <v>16.1</v>
      </c>
      <c r="O62" s="31" t="n">
        <f aca="false">RANDBETWEEN(30,180)/10</f>
        <v>6.7</v>
      </c>
      <c r="P62" s="31" t="n">
        <f aca="false">RANDBETWEEN(30,180)/10</f>
        <v>15</v>
      </c>
      <c r="Q62" s="31" t="n">
        <f aca="false">RANDBETWEEN(50,200)/10</f>
        <v>12.3</v>
      </c>
      <c r="R62" s="31" t="n">
        <f aca="false">RANDBETWEEN(50,200)/10</f>
        <v>5.4</v>
      </c>
      <c r="S62" s="31" t="n">
        <f aca="false">RANDBETWEEN(50,200)/10</f>
        <v>9.4</v>
      </c>
      <c r="T62" s="31" t="n">
        <f aca="false">RANDBETWEEN(50,200)/10</f>
        <v>18.1</v>
      </c>
      <c r="U62" s="31" t="n">
        <f aca="false">RANDBETWEEN(50,200)/10</f>
        <v>19.3</v>
      </c>
      <c r="V62" s="31" t="n">
        <f aca="false">RANDBETWEEN(50,200)/10</f>
        <v>13.1</v>
      </c>
      <c r="W62" s="31" t="n">
        <f aca="false">RANDBETWEEN(50,200)/10</f>
        <v>14.5</v>
      </c>
      <c r="X62" s="31" t="n">
        <f aca="false">RANDBETWEEN(50,200)/10</f>
        <v>11</v>
      </c>
      <c r="Y62" s="34"/>
      <c r="Z62" s="10" t="s">
        <v>211</v>
      </c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  <c r="AMI62" s="0"/>
      <c r="AMJ62" s="0"/>
    </row>
    <row r="63" s="35" customFormat="true" ht="13.8" hidden="false" customHeight="false" outlineLevel="0" collapsed="false">
      <c r="A63" s="17" t="str">
        <f aca="false">Liste!A63</f>
        <v>20150986</v>
      </c>
      <c r="B63" s="33" t="str">
        <f aca="false">Liste!B63</f>
        <v>WICART</v>
      </c>
      <c r="C63" s="33" t="str">
        <f aca="false">Liste!C63</f>
        <v>Melvin</v>
      </c>
      <c r="D63" s="17" t="str">
        <f aca="false">Liste!D63</f>
        <v>2-B</v>
      </c>
      <c r="E63" s="34" t="n">
        <f aca="false">($G$2*G63+$H$2*H63+$I$2*I63)/$E$2*(1+Y63/200)</f>
        <v>10.71</v>
      </c>
      <c r="F63" s="17" t="n">
        <f aca="false">RANK(E63,$E$3:$E$63)</f>
        <v>49</v>
      </c>
      <c r="G63" s="34" t="n">
        <f aca="false">($J$2*J63+$K$2*K63+$L$2*L63+$M$2*M63+$N$2*N63+$O$2*O63)/$G$2</f>
        <v>10.8041666666667</v>
      </c>
      <c r="H63" s="34" t="n">
        <f aca="false">($P$2*P63+$Q$2*Q63+$R$2*R63+$S$2*S63+$T$2*T63+$U$2*U63)/$H$2</f>
        <v>10.7291666666667</v>
      </c>
      <c r="I63" s="34" t="n">
        <f aca="false">($V$2*V63+$W$2*W63+$X$2*X63)/$I$2</f>
        <v>10.4833333333333</v>
      </c>
      <c r="J63" s="34" t="n">
        <f aca="false">SE3!E63</f>
        <v>5</v>
      </c>
      <c r="K63" s="34" t="n">
        <f aca="false">RX2!E63</f>
        <v>8.9</v>
      </c>
      <c r="L63" s="31" t="n">
        <f aca="false">RANDBETWEEN(30,180)/10</f>
        <v>14</v>
      </c>
      <c r="M63" s="31" t="n">
        <f aca="false">RANDBETWEEN(30,180)/10</f>
        <v>12.8</v>
      </c>
      <c r="N63" s="31" t="n">
        <f aca="false">RANDBETWEEN(30,180)/10</f>
        <v>17.8</v>
      </c>
      <c r="O63" s="31" t="n">
        <f aca="false">RANDBETWEEN(30,180)/10</f>
        <v>4.2</v>
      </c>
      <c r="P63" s="31" t="n">
        <f aca="false">RANDBETWEEN(30,180)/10</f>
        <v>6.6</v>
      </c>
      <c r="Q63" s="31" t="n">
        <f aca="false">RANDBETWEEN(50,200)/10</f>
        <v>11</v>
      </c>
      <c r="R63" s="31" t="n">
        <f aca="false">RANDBETWEEN(50,200)/10</f>
        <v>12</v>
      </c>
      <c r="S63" s="31" t="n">
        <f aca="false">RANDBETWEEN(50,200)/10</f>
        <v>13</v>
      </c>
      <c r="T63" s="31" t="n">
        <f aca="false">RANDBETWEEN(50,200)/10</f>
        <v>10</v>
      </c>
      <c r="U63" s="31" t="n">
        <f aca="false">RANDBETWEEN(50,200)/10</f>
        <v>12.1</v>
      </c>
      <c r="V63" s="31" t="n">
        <f aca="false">RANDBETWEEN(50,200)/10</f>
        <v>7</v>
      </c>
      <c r="W63" s="31" t="n">
        <f aca="false">RANDBETWEEN(50,200)/10</f>
        <v>16.2</v>
      </c>
      <c r="X63" s="31" t="n">
        <f aca="false">RANDBETWEEN(50,200)/10</f>
        <v>9.5</v>
      </c>
      <c r="Y63" s="34"/>
      <c r="Z63" s="12" t="s">
        <v>214</v>
      </c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  <c r="AMI63" s="0"/>
      <c r="AMJ63" s="0"/>
    </row>
    <row r="64" s="39" customFormat="true" ht="12.8" hidden="false" customHeight="false" outlineLevel="0" collapsed="false">
      <c r="A64" s="17" t="s">
        <v>303</v>
      </c>
      <c r="B64" s="36"/>
      <c r="C64" s="36" t="s">
        <v>304</v>
      </c>
      <c r="D64" s="37"/>
      <c r="E64" s="38" t="n">
        <f aca="false">AVERAGE(E3:E63)</f>
        <v>11.6894211748634</v>
      </c>
      <c r="F64" s="38"/>
      <c r="G64" s="38" t="n">
        <f aca="false">AVERAGE(G3:G63)</f>
        <v>11.0773907103825</v>
      </c>
      <c r="H64" s="38" t="n">
        <f aca="false">AVERAGE(H3:H63)</f>
        <v>12.1519808743169</v>
      </c>
      <c r="I64" s="38" t="n">
        <f aca="false">AVERAGE(I3:I63)</f>
        <v>11.9393442622951</v>
      </c>
      <c r="J64" s="38" t="n">
        <f aca="false">AVERAGE(J3:J63)</f>
        <v>12</v>
      </c>
      <c r="K64" s="38" t="n">
        <f aca="false">AVERAGE(K3:K63)</f>
        <v>12.7819672131148</v>
      </c>
      <c r="L64" s="38" t="n">
        <f aca="false">AVERAGE(L3:L63)</f>
        <v>10.8</v>
      </c>
      <c r="M64" s="38" t="n">
        <f aca="false">AVERAGE(M3:M63)</f>
        <v>9.81967213114754</v>
      </c>
      <c r="N64" s="38" t="n">
        <f aca="false">AVERAGE(N3:N63)</f>
        <v>10.6508196721311</v>
      </c>
      <c r="O64" s="38" t="n">
        <f aca="false">AVERAGE(O3:O63)</f>
        <v>10.9196721311475</v>
      </c>
      <c r="P64" s="38" t="n">
        <f aca="false">AVERAGE(P3:P63)</f>
        <v>11.0393442622951</v>
      </c>
      <c r="Q64" s="38" t="n">
        <f aca="false">AVERAGE(Q3:Q63)</f>
        <v>11.8508196721311</v>
      </c>
      <c r="R64" s="38" t="n">
        <f aca="false">AVERAGE(R3:R63)</f>
        <v>13.0836065573771</v>
      </c>
      <c r="S64" s="38" t="n">
        <f aca="false">AVERAGE(S3:S63)</f>
        <v>11.8950819672131</v>
      </c>
      <c r="T64" s="38" t="n">
        <f aca="false">AVERAGE(T3:T63)</f>
        <v>12.7213114754098</v>
      </c>
      <c r="U64" s="38" t="n">
        <f aca="false">AVERAGE(U3:U63)</f>
        <v>12.8016393442623</v>
      </c>
      <c r="V64" s="38" t="n">
        <f aca="false">AVERAGE(V3:V63)</f>
        <v>11.6131147540984</v>
      </c>
      <c r="W64" s="38" t="n">
        <f aca="false">AVERAGE(W3:W63)</f>
        <v>12.1868852459016</v>
      </c>
      <c r="X64" s="38" t="n">
        <f aca="false">AVERAGE(X3:X63)</f>
        <v>12.4229508196721</v>
      </c>
      <c r="Y64" s="38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  <c r="AMI64" s="0"/>
      <c r="AMJ64" s="0"/>
    </row>
    <row r="65" s="35" customFormat="true" ht="12.8" hidden="false" customHeight="false" outlineLevel="0" collapsed="false">
      <c r="A65" s="17"/>
      <c r="B65" s="40"/>
      <c r="C65" s="40" t="s">
        <v>305</v>
      </c>
      <c r="D65" s="41"/>
      <c r="E65" s="38" t="n">
        <f aca="false">MAX(E4:E64)</f>
        <v>14.4316666666667</v>
      </c>
      <c r="F65" s="34"/>
      <c r="G65" s="38" t="n">
        <f aca="false">MAX(G4:G64)</f>
        <v>14.6666666666667</v>
      </c>
      <c r="H65" s="38" t="n">
        <f aca="false">MAX(H4:H64)</f>
        <v>16.2333333333333</v>
      </c>
      <c r="I65" s="38" t="n">
        <f aca="false">MAX(I4:I64)</f>
        <v>17.8833333333333</v>
      </c>
      <c r="J65" s="38" t="n">
        <f aca="false">MAX(J4:J64)</f>
        <v>20</v>
      </c>
      <c r="K65" s="38" t="n">
        <f aca="false">MAX(K4:K64)</f>
        <v>19.9</v>
      </c>
      <c r="L65" s="38" t="n">
        <f aca="false">MAX(L4:L64)</f>
        <v>17.8</v>
      </c>
      <c r="M65" s="38" t="n">
        <f aca="false">MAX(M4:M64)</f>
        <v>18</v>
      </c>
      <c r="N65" s="38" t="n">
        <f aca="false">MAX(N4:N64)</f>
        <v>17.9</v>
      </c>
      <c r="O65" s="38" t="n">
        <f aca="false">MAX(O4:O64)</f>
        <v>18</v>
      </c>
      <c r="P65" s="38" t="n">
        <f aca="false">MAX(P4:P64)</f>
        <v>18</v>
      </c>
      <c r="Q65" s="38" t="n">
        <f aca="false">MAX(Q4:Q64)</f>
        <v>19.8</v>
      </c>
      <c r="R65" s="38" t="n">
        <f aca="false">MAX(R4:R64)</f>
        <v>19.9</v>
      </c>
      <c r="S65" s="38" t="n">
        <f aca="false">MAX(S4:S64)</f>
        <v>19.9</v>
      </c>
      <c r="T65" s="38" t="n">
        <f aca="false">MAX(T4:T64)</f>
        <v>19.9</v>
      </c>
      <c r="U65" s="38" t="n">
        <f aca="false">MAX(U4:U64)</f>
        <v>19.8</v>
      </c>
      <c r="V65" s="38" t="n">
        <f aca="false">MAX(V4:V64)</f>
        <v>19.8</v>
      </c>
      <c r="W65" s="38" t="n">
        <f aca="false">MAX(W4:W64)</f>
        <v>19.8</v>
      </c>
      <c r="X65" s="38" t="n">
        <f aca="false">MAX(X4:X64)</f>
        <v>20</v>
      </c>
      <c r="Y65" s="34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  <c r="AMI65" s="0"/>
      <c r="AMJ65" s="0"/>
    </row>
    <row r="66" s="35" customFormat="true" ht="12.8" hidden="false" customHeight="false" outlineLevel="0" collapsed="false">
      <c r="A66" s="17"/>
      <c r="B66" s="40"/>
      <c r="C66" s="40" t="s">
        <v>306</v>
      </c>
      <c r="D66" s="41"/>
      <c r="E66" s="38" t="n">
        <f aca="false">MIN(E5:E65)</f>
        <v>8.93833333333333</v>
      </c>
      <c r="F66" s="34"/>
      <c r="G66" s="38" t="n">
        <f aca="false">MIN(G5:G65)</f>
        <v>7.42916666666667</v>
      </c>
      <c r="H66" s="38" t="n">
        <f aca="false">MIN(H5:H65)</f>
        <v>9.00416666666667</v>
      </c>
      <c r="I66" s="38" t="n">
        <f aca="false">MIN(I5:I65)</f>
        <v>6.53333333333333</v>
      </c>
      <c r="J66" s="38" t="n">
        <f aca="false">MIN(J5:J65)</f>
        <v>5</v>
      </c>
      <c r="K66" s="38" t="n">
        <f aca="false">MIN(K5:K65)</f>
        <v>5</v>
      </c>
      <c r="L66" s="38" t="n">
        <f aca="false">MIN(L5:L65)</f>
        <v>3.3</v>
      </c>
      <c r="M66" s="38" t="n">
        <f aca="false">MIN(M5:M65)</f>
        <v>3.3</v>
      </c>
      <c r="N66" s="38" t="n">
        <f aca="false">MIN(N5:N65)</f>
        <v>3</v>
      </c>
      <c r="O66" s="38" t="n">
        <f aca="false">MIN(O5:O65)</f>
        <v>3</v>
      </c>
      <c r="P66" s="38" t="n">
        <f aca="false">MIN(P5:P65)</f>
        <v>3</v>
      </c>
      <c r="Q66" s="38" t="n">
        <f aca="false">MIN(Q5:Q65)</f>
        <v>5</v>
      </c>
      <c r="R66" s="38" t="n">
        <f aca="false">MIN(R5:R65)</f>
        <v>5.3</v>
      </c>
      <c r="S66" s="38" t="n">
        <f aca="false">MIN(S5:S65)</f>
        <v>5.1</v>
      </c>
      <c r="T66" s="38" t="n">
        <f aca="false">MIN(T5:T65)</f>
        <v>6.1</v>
      </c>
      <c r="U66" s="38" t="n">
        <f aca="false">MIN(U5:U65)</f>
        <v>5</v>
      </c>
      <c r="V66" s="38" t="n">
        <f aca="false">MIN(V5:V65)</f>
        <v>5</v>
      </c>
      <c r="W66" s="38" t="n">
        <f aca="false">MIN(W5:W65)</f>
        <v>5.2</v>
      </c>
      <c r="X66" s="38" t="n">
        <f aca="false">MIN(X5:X65)</f>
        <v>5</v>
      </c>
      <c r="Y66" s="34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  <c r="AMI66" s="0"/>
      <c r="AMJ66" s="0"/>
    </row>
    <row r="67" s="35" customFormat="true" ht="12.8" hidden="false" customHeight="false" outlineLevel="0" collapsed="false">
      <c r="A67" s="0" t="s">
        <v>275</v>
      </c>
      <c r="B67" s="18" t="s">
        <v>276</v>
      </c>
      <c r="C67" s="18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21"/>
      <c r="Y67" s="34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  <c r="AMI67" s="0"/>
      <c r="AMJ67" s="0"/>
    </row>
    <row r="68" s="35" customFormat="true" ht="12.8" hidden="false" customHeight="false" outlineLevel="0" collapsed="false">
      <c r="A68" s="0" t="s">
        <v>277</v>
      </c>
      <c r="B68" s="18" t="s">
        <v>278</v>
      </c>
      <c r="C68" s="18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21"/>
      <c r="Y68" s="34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  <c r="AMI68" s="0"/>
      <c r="AMJ68" s="0"/>
    </row>
    <row r="69" s="35" customFormat="true" ht="12.8" hidden="false" customHeight="false" outlineLevel="0" collapsed="false">
      <c r="A69" s="0" t="s">
        <v>279</v>
      </c>
      <c r="B69" s="19" t="n">
        <v>42614</v>
      </c>
      <c r="C69" s="18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21"/>
      <c r="Y69" s="34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  <c r="AMI69" s="0"/>
      <c r="AMJ69" s="0"/>
    </row>
    <row r="70" s="35" customFormat="true" ht="12.8" hidden="false" customHeight="false" outlineLevel="0" collapsed="false">
      <c r="A70" s="0" t="s">
        <v>280</v>
      </c>
      <c r="B70" s="18" t="s">
        <v>281</v>
      </c>
      <c r="C70" s="18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21"/>
      <c r="Y70" s="34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  <c r="AMI70" s="0"/>
      <c r="AMJ70" s="0"/>
    </row>
    <row r="71" s="35" customFormat="true" ht="12.8" hidden="false" customHeight="false" outlineLevel="0" collapsed="false">
      <c r="A71" s="0" t="s">
        <v>222</v>
      </c>
      <c r="B71" s="18" t="s">
        <v>227</v>
      </c>
      <c r="C71" s="18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21"/>
      <c r="Y71" s="34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  <c r="AMI71" s="0"/>
      <c r="AMJ71" s="0"/>
    </row>
    <row r="72" s="35" customFormat="true" ht="12.8" hidden="false" customHeight="false" outlineLevel="0" collapsed="false">
      <c r="A72" s="1" t="s">
        <v>304</v>
      </c>
      <c r="B72" s="18" t="n">
        <f aca="false">AVERAGE(E3:E63)</f>
        <v>11.6894211748634</v>
      </c>
      <c r="C72" s="18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21"/>
      <c r="Y72" s="34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  <c r="AMI72" s="0"/>
      <c r="AMJ72" s="0"/>
    </row>
    <row r="73" s="35" customFormat="true" ht="12.8" hidden="false" customHeight="false" outlineLevel="0" collapsed="false">
      <c r="A73" s="1" t="s">
        <v>305</v>
      </c>
      <c r="B73" s="18" t="n">
        <f aca="false">MAX(E4:E64)</f>
        <v>14.4316666666667</v>
      </c>
      <c r="C73" s="18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21"/>
      <c r="Y73" s="34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  <c r="AMI73" s="0"/>
      <c r="AMJ73" s="0"/>
    </row>
    <row r="74" s="35" customFormat="true" ht="12.8" hidden="false" customHeight="false" outlineLevel="0" collapsed="false">
      <c r="A74" s="1" t="s">
        <v>306</v>
      </c>
      <c r="B74" s="18" t="n">
        <f aca="false">MIN(E5:E65)</f>
        <v>8.93833333333333</v>
      </c>
      <c r="C74" s="18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21"/>
      <c r="Y74" s="34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  <c r="AMI74" s="0"/>
      <c r="AMJ74" s="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landscape" usePrinterDefaults="false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7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E77" activeCellId="0" sqref="E77"/>
    </sheetView>
  </sheetViews>
  <sheetFormatPr defaultRowHeight="12.8"/>
  <cols>
    <col collapsed="false" hidden="false" max="1" min="1" style="0" width="11.5204081632653"/>
    <col collapsed="false" hidden="false" max="2" min="2" style="0" width="22.0561224489796"/>
    <col collapsed="false" hidden="false" max="4" min="3" style="0" width="11.5204081632653"/>
    <col collapsed="false" hidden="false" max="5" min="5" style="1" width="11.780612244898"/>
    <col collapsed="false" hidden="false" max="8" min="6" style="1" width="11.5204081632653"/>
    <col collapsed="false" hidden="false" max="9" min="9" style="0" width="62.969387755102"/>
    <col collapsed="false" hidden="false" max="1025" min="10" style="0" width="11.5204081632653"/>
  </cols>
  <sheetData>
    <row r="1" customFormat="false" ht="12.8" hidden="false" customHeight="false" outlineLevel="0" collapsed="false">
      <c r="A1" s="0" t="str">
        <f aca="false">Liste!A1</f>
        <v>Numéro</v>
      </c>
      <c r="B1" s="0" t="str">
        <f aca="false">Liste!B1</f>
        <v>Nom</v>
      </c>
      <c r="C1" s="0" t="str">
        <f aca="false">Liste!C1</f>
        <v>Prénom</v>
      </c>
      <c r="D1" s="1" t="str">
        <f aca="false">Liste!D1</f>
        <v>Groupe</v>
      </c>
      <c r="E1" s="42" t="s">
        <v>307</v>
      </c>
      <c r="F1" s="42"/>
      <c r="G1" s="42"/>
      <c r="H1" s="42"/>
      <c r="I1" s="43" t="s">
        <v>308</v>
      </c>
    </row>
    <row r="2" customFormat="false" ht="12.8" hidden="false" customHeight="false" outlineLevel="0" collapsed="false">
      <c r="D2" s="1"/>
      <c r="E2" s="1" t="s">
        <v>227</v>
      </c>
      <c r="F2" s="1" t="s">
        <v>226</v>
      </c>
      <c r="G2" s="1" t="s">
        <v>246</v>
      </c>
      <c r="H2" s="1" t="s">
        <v>265</v>
      </c>
    </row>
    <row r="3" customFormat="false" ht="12.8" hidden="false" customHeight="false" outlineLevel="0" collapsed="false">
      <c r="A3" s="15" t="str">
        <f aca="false">Liste!A3</f>
        <v>20150926</v>
      </c>
      <c r="B3" s="15" t="str">
        <f aca="false">Liste!B3</f>
        <v>BAUDELET</v>
      </c>
      <c r="C3" s="15" t="str">
        <f aca="false">Liste!C3</f>
        <v>Geoffrey</v>
      </c>
      <c r="D3" s="17" t="str">
        <f aca="false">Liste!D3</f>
        <v>2-B</v>
      </c>
      <c r="E3" s="17" t="str">
        <f aca="false">IF(AND('Detail Notes S3'!E3&gt;10 , 'Detail Notes S3'!G3 &gt; 8 , 'Detail Notes S3'!H3&gt;8 , 'Detail Notes S3'!I3&gt; 8), "validé", "non validé")</f>
        <v>validé</v>
      </c>
      <c r="F3" s="17" t="str">
        <f aca="false">IF(E3="validé","",IF('Detail Notes S3'!G3&gt;10,"validé","non validé"))</f>
        <v/>
      </c>
      <c r="G3" s="17" t="str">
        <f aca="false">IF(E3="validé","",IF('Detail Notes S3'!H3&gt;10,"validé","non validé"))</f>
        <v/>
      </c>
      <c r="H3" s="17" t="str">
        <f aca="false">IF(E3="validé","",IF('Detail Notes S3'!I3&gt;10,"validé","non validé"))</f>
        <v/>
      </c>
    </row>
    <row r="4" customFormat="false" ht="12.8" hidden="false" customHeight="false" outlineLevel="0" collapsed="false">
      <c r="A4" s="15" t="str">
        <f aca="false">Liste!A4</f>
        <v>20150927</v>
      </c>
      <c r="B4" s="15" t="str">
        <f aca="false">Liste!B4</f>
        <v>BIGARD</v>
      </c>
      <c r="C4" s="15" t="str">
        <f aca="false">Liste!C4</f>
        <v>Samuel</v>
      </c>
      <c r="D4" s="17" t="str">
        <f aca="false">Liste!D4</f>
        <v>2-C</v>
      </c>
      <c r="E4" s="17" t="str">
        <f aca="false">IF(AND('Detail Notes S3'!E4&gt;10 , 'Detail Notes S3'!G4 &gt; 8 , 'Detail Notes S3'!H4&gt;8 , 'Detail Notes S3'!I4&gt; 8), "validé", "non validé")</f>
        <v>validé</v>
      </c>
      <c r="F4" s="17" t="str">
        <f aca="false">IF(E4="validé","",IF('Detail Notes S3'!G4&gt;10,"validé","non validé"))</f>
        <v/>
      </c>
      <c r="G4" s="17" t="str">
        <f aca="false">IF(E4="validé","",IF('Detail Notes S3'!H4&gt;10,"validé","non validé"))</f>
        <v/>
      </c>
      <c r="H4" s="17" t="str">
        <f aca="false">IF(E4="validé","",IF('Detail Notes S3'!I4&gt;10,"validé","non validé"))</f>
        <v/>
      </c>
    </row>
    <row r="5" customFormat="false" ht="12.8" hidden="false" customHeight="false" outlineLevel="0" collapsed="false">
      <c r="A5" s="15" t="str">
        <f aca="false">Liste!A5</f>
        <v>20150928</v>
      </c>
      <c r="B5" s="15" t="str">
        <f aca="false">Liste!B5</f>
        <v>BISSON</v>
      </c>
      <c r="C5" s="15" t="str">
        <f aca="false">Liste!C5</f>
        <v>Julien</v>
      </c>
      <c r="D5" s="17" t="str">
        <f aca="false">Liste!D5</f>
        <v>2-A</v>
      </c>
      <c r="E5" s="17" t="str">
        <f aca="false">IF(AND('Detail Notes S3'!E5&gt;10 , 'Detail Notes S3'!G5 &gt; 8 , 'Detail Notes S3'!H5&gt;8 , 'Detail Notes S3'!I5&gt; 8), "validé", "non validé")</f>
        <v>non validé</v>
      </c>
      <c r="F5" s="17" t="str">
        <f aca="false">IF(E5="validé","",IF('Detail Notes S3'!G5&gt;10,"validé","non validé"))</f>
        <v>validé</v>
      </c>
      <c r="G5" s="17" t="str">
        <f aca="false">IF(E5="validé","",IF('Detail Notes S3'!H5&gt;10,"validé","non validé"))</f>
        <v>validé</v>
      </c>
      <c r="H5" s="17" t="str">
        <f aca="false">IF(E5="validé","",IF('Detail Notes S3'!I5&gt;10,"validé","non validé"))</f>
        <v>non validé</v>
      </c>
      <c r="I5" s="0" t="s">
        <v>309</v>
      </c>
    </row>
    <row r="6" customFormat="false" ht="12.8" hidden="false" customHeight="false" outlineLevel="0" collapsed="false">
      <c r="A6" s="15" t="str">
        <f aca="false">Liste!A6</f>
        <v>20150929</v>
      </c>
      <c r="B6" s="15" t="str">
        <f aca="false">Liste!B6</f>
        <v>BONTE</v>
      </c>
      <c r="C6" s="15" t="str">
        <f aca="false">Liste!C6</f>
        <v>Nicolas</v>
      </c>
      <c r="D6" s="17" t="str">
        <f aca="false">Liste!D6</f>
        <v>2-A</v>
      </c>
      <c r="E6" s="17" t="str">
        <f aca="false">IF(AND('Detail Notes S3'!E6&gt;10 , 'Detail Notes S3'!G6 &gt; 8 , 'Detail Notes S3'!H6&gt;8 , 'Detail Notes S3'!I6&gt; 8), "validé", "non validé")</f>
        <v>non validé</v>
      </c>
      <c r="F6" s="17" t="str">
        <f aca="false">IF(E6="validé","",IF('Detail Notes S3'!G6&gt;10,"validé","non validé"))</f>
        <v>non validé</v>
      </c>
      <c r="G6" s="17" t="str">
        <f aca="false">IF(E6="validé","",IF('Detail Notes S3'!H6&gt;10,"validé","non validé"))</f>
        <v>validé</v>
      </c>
      <c r="H6" s="17" t="str">
        <f aca="false">IF(E6="validé","",IF('Detail Notes S3'!I6&gt;10,"validé","non validé"))</f>
        <v>validé</v>
      </c>
    </row>
    <row r="7" customFormat="false" ht="12.8" hidden="false" customHeight="false" outlineLevel="0" collapsed="false">
      <c r="A7" s="15" t="str">
        <f aca="false">Liste!A7</f>
        <v>20150930</v>
      </c>
      <c r="B7" s="15" t="str">
        <f aca="false">Liste!B7</f>
        <v>BOULNOIS</v>
      </c>
      <c r="C7" s="15" t="str">
        <f aca="false">Liste!C7</f>
        <v>Louis</v>
      </c>
      <c r="D7" s="17" t="str">
        <f aca="false">Liste!D7</f>
        <v>2-A</v>
      </c>
      <c r="E7" s="17" t="str">
        <f aca="false">IF(AND('Detail Notes S3'!E7&gt;10 , 'Detail Notes S3'!G7 &gt; 8 , 'Detail Notes S3'!H7&gt;8 , 'Detail Notes S3'!I7&gt; 8), "validé", "non validé")</f>
        <v>validé</v>
      </c>
      <c r="F7" s="17" t="str">
        <f aca="false">IF(E7="validé","",IF('Detail Notes S3'!G7&gt;10,"validé","non validé"))</f>
        <v/>
      </c>
      <c r="G7" s="17" t="str">
        <f aca="false">IF(E7="validé","",IF('Detail Notes S3'!H7&gt;10,"validé","non validé"))</f>
        <v/>
      </c>
      <c r="H7" s="17" t="str">
        <f aca="false">IF(E7="validé","",IF('Detail Notes S3'!I7&gt;10,"validé","non validé"))</f>
        <v/>
      </c>
    </row>
    <row r="8" customFormat="false" ht="12.8" hidden="false" customHeight="false" outlineLevel="0" collapsed="false">
      <c r="A8" s="15" t="str">
        <f aca="false">Liste!A8</f>
        <v>20150931</v>
      </c>
      <c r="B8" s="15" t="str">
        <f aca="false">Liste!B8</f>
        <v>CHATELET</v>
      </c>
      <c r="C8" s="15" t="str">
        <f aca="false">Liste!C8</f>
        <v>Hadrien</v>
      </c>
      <c r="D8" s="17" t="str">
        <f aca="false">Liste!D8</f>
        <v>2-B</v>
      </c>
      <c r="E8" s="17" t="str">
        <f aca="false">IF(AND('Detail Notes S3'!E8&gt;10 , 'Detail Notes S3'!G8 &gt; 8 , 'Detail Notes S3'!H8&gt;8 , 'Detail Notes S3'!I8&gt; 8), "validé", "non validé")</f>
        <v>validé</v>
      </c>
      <c r="F8" s="17" t="str">
        <f aca="false">IF(E8="validé","",IF('Detail Notes S3'!G8&gt;10,"validé","non validé"))</f>
        <v/>
      </c>
      <c r="G8" s="17" t="str">
        <f aca="false">IF(E8="validé","",IF('Detail Notes S3'!H8&gt;10,"validé","non validé"))</f>
        <v/>
      </c>
      <c r="H8" s="17" t="str">
        <f aca="false">IF(E8="validé","",IF('Detail Notes S3'!I8&gt;10,"validé","non validé"))</f>
        <v/>
      </c>
    </row>
    <row r="9" customFormat="false" ht="12.8" hidden="false" customHeight="false" outlineLevel="0" collapsed="false">
      <c r="A9" s="15" t="str">
        <f aca="false">Liste!A9</f>
        <v>20150932</v>
      </c>
      <c r="B9" s="15" t="str">
        <f aca="false">Liste!B9</f>
        <v>CLEROT</v>
      </c>
      <c r="C9" s="15" t="str">
        <f aca="false">Liste!C9</f>
        <v>Jérémy</v>
      </c>
      <c r="D9" s="17" t="str">
        <f aca="false">Liste!D9</f>
        <v>2-C</v>
      </c>
      <c r="E9" s="17" t="str">
        <f aca="false">IF(AND('Detail Notes S3'!E9&gt;10 , 'Detail Notes S3'!G9 &gt; 8 , 'Detail Notes S3'!H9&gt;8 , 'Detail Notes S3'!I9&gt; 8), "validé", "non validé")</f>
        <v>validé</v>
      </c>
      <c r="F9" s="17" t="str">
        <f aca="false">IF(E9="validé","",IF('Detail Notes S3'!G9&gt;10,"validé","non validé"))</f>
        <v/>
      </c>
      <c r="G9" s="17" t="str">
        <f aca="false">IF(E9="validé","",IF('Detail Notes S3'!H9&gt;10,"validé","non validé"))</f>
        <v/>
      </c>
      <c r="H9" s="17" t="str">
        <f aca="false">IF(E9="validé","",IF('Detail Notes S3'!I9&gt;10,"validé","non validé"))</f>
        <v/>
      </c>
    </row>
    <row r="10" customFormat="false" ht="12.8" hidden="false" customHeight="false" outlineLevel="0" collapsed="false">
      <c r="A10" s="15" t="str">
        <f aca="false">Liste!A10</f>
        <v>20150933</v>
      </c>
      <c r="B10" s="15" t="str">
        <f aca="false">Liste!B10</f>
        <v>CORNU</v>
      </c>
      <c r="C10" s="15" t="str">
        <f aca="false">Liste!C10</f>
        <v>Bastien</v>
      </c>
      <c r="D10" s="17" t="str">
        <f aca="false">Liste!D10</f>
        <v>2-C</v>
      </c>
      <c r="E10" s="17" t="str">
        <f aca="false">IF(AND('Detail Notes S3'!E10&gt;10 , 'Detail Notes S3'!G10 &gt; 8 , 'Detail Notes S3'!H10&gt;8 , 'Detail Notes S3'!I10&gt; 8), "validé", "non validé")</f>
        <v>non validé</v>
      </c>
      <c r="F10" s="17" t="str">
        <f aca="false">IF(E10="validé","",IF('Detail Notes S3'!G10&gt;10,"validé","non validé"))</f>
        <v>non validé</v>
      </c>
      <c r="G10" s="17" t="str">
        <f aca="false">IF(E10="validé","",IF('Detail Notes S3'!H10&gt;10,"validé","non validé"))</f>
        <v>non validé</v>
      </c>
      <c r="H10" s="17" t="str">
        <f aca="false">IF(E10="validé","",IF('Detail Notes S3'!I10&gt;10,"validé","non validé"))</f>
        <v>validé</v>
      </c>
    </row>
    <row r="11" customFormat="false" ht="12.8" hidden="false" customHeight="false" outlineLevel="0" collapsed="false">
      <c r="A11" s="15" t="str">
        <f aca="false">Liste!A11</f>
        <v>20150934</v>
      </c>
      <c r="B11" s="15" t="str">
        <f aca="false">Liste!B11</f>
        <v>DACHY</v>
      </c>
      <c r="C11" s="15" t="str">
        <f aca="false">Liste!C11</f>
        <v>Remy</v>
      </c>
      <c r="D11" s="17" t="str">
        <f aca="false">Liste!D11</f>
        <v>2-B</v>
      </c>
      <c r="E11" s="17" t="str">
        <f aca="false">IF(AND('Detail Notes S3'!E11&gt;10 , 'Detail Notes S3'!G11 &gt; 8 , 'Detail Notes S3'!H11&gt;8 , 'Detail Notes S3'!I11&gt; 8), "validé", "non validé")</f>
        <v>validé</v>
      </c>
      <c r="F11" s="17" t="str">
        <f aca="false">IF(E11="validé","",IF('Detail Notes S3'!G11&gt;10,"validé","non validé"))</f>
        <v/>
      </c>
      <c r="G11" s="17" t="str">
        <f aca="false">IF(E11="validé","",IF('Detail Notes S3'!H11&gt;10,"validé","non validé"))</f>
        <v/>
      </c>
      <c r="H11" s="17" t="str">
        <f aca="false">IF(E11="validé","",IF('Detail Notes S3'!I11&gt;10,"validé","non validé"))</f>
        <v/>
      </c>
    </row>
    <row r="12" customFormat="false" ht="12.8" hidden="false" customHeight="false" outlineLevel="0" collapsed="false">
      <c r="A12" s="15" t="str">
        <f aca="false">Liste!A12</f>
        <v>20150935</v>
      </c>
      <c r="B12" s="15" t="str">
        <f aca="false">Liste!B12</f>
        <v>DANGLETERRE</v>
      </c>
      <c r="C12" s="15" t="str">
        <f aca="false">Liste!C12</f>
        <v>Thomas</v>
      </c>
      <c r="D12" s="17" t="str">
        <f aca="false">Liste!D12</f>
        <v>2-C</v>
      </c>
      <c r="E12" s="17" t="str">
        <f aca="false">IF(AND('Detail Notes S3'!E12&gt;10 , 'Detail Notes S3'!G12 &gt; 8 , 'Detail Notes S3'!H12&gt;8 , 'Detail Notes S3'!I12&gt; 8), "validé", "non validé")</f>
        <v>validé</v>
      </c>
      <c r="F12" s="17" t="str">
        <f aca="false">IF(E12="validé","",IF('Detail Notes S3'!G12&gt;10,"validé","non validé"))</f>
        <v/>
      </c>
      <c r="G12" s="17" t="str">
        <f aca="false">IF(E12="validé","",IF('Detail Notes S3'!H12&gt;10,"validé","non validé"))</f>
        <v/>
      </c>
      <c r="H12" s="17" t="str">
        <f aca="false">IF(E12="validé","",IF('Detail Notes S3'!I12&gt;10,"validé","non validé"))</f>
        <v/>
      </c>
    </row>
    <row r="13" customFormat="false" ht="12.8" hidden="false" customHeight="false" outlineLevel="0" collapsed="false">
      <c r="A13" s="15" t="str">
        <f aca="false">Liste!A13</f>
        <v>20150936</v>
      </c>
      <c r="B13" s="15" t="str">
        <f aca="false">Liste!B13</f>
        <v>DEBACKER</v>
      </c>
      <c r="C13" s="15" t="str">
        <f aca="false">Liste!C13</f>
        <v>Thomas</v>
      </c>
      <c r="D13" s="17" t="str">
        <f aca="false">Liste!D13</f>
        <v>2-C</v>
      </c>
      <c r="E13" s="17" t="str">
        <f aca="false">IF(AND('Detail Notes S3'!E13&gt;10 , 'Detail Notes S3'!G13 &gt; 8 , 'Detail Notes S3'!H13&gt;8 , 'Detail Notes S3'!I13&gt; 8), "validé", "non validé")</f>
        <v>validé</v>
      </c>
      <c r="F13" s="17" t="str">
        <f aca="false">IF(E13="validé","",IF('Detail Notes S3'!G13&gt;10,"validé","non validé"))</f>
        <v/>
      </c>
      <c r="G13" s="17" t="str">
        <f aca="false">IF(E13="validé","",IF('Detail Notes S3'!H13&gt;10,"validé","non validé"))</f>
        <v/>
      </c>
      <c r="H13" s="17" t="str">
        <f aca="false">IF(E13="validé","",IF('Detail Notes S3'!I13&gt;10,"validé","non validé"))</f>
        <v/>
      </c>
    </row>
    <row r="14" customFormat="false" ht="12.8" hidden="false" customHeight="false" outlineLevel="0" collapsed="false">
      <c r="A14" s="15" t="str">
        <f aca="false">Liste!A14</f>
        <v>20150937</v>
      </c>
      <c r="B14" s="15" t="str">
        <f aca="false">Liste!B14</f>
        <v>DELBREUVE</v>
      </c>
      <c r="C14" s="15" t="str">
        <f aca="false">Liste!C14</f>
        <v>Benjamin</v>
      </c>
      <c r="D14" s="17" t="str">
        <f aca="false">Liste!D14</f>
        <v>2-C</v>
      </c>
      <c r="E14" s="17" t="str">
        <f aca="false">IF(AND('Detail Notes S3'!E14&gt;10 , 'Detail Notes S3'!G14 &gt; 8 , 'Detail Notes S3'!H14&gt;8 , 'Detail Notes S3'!I14&gt; 8), "validé", "non validé")</f>
        <v>validé</v>
      </c>
      <c r="F14" s="17" t="str">
        <f aca="false">IF(E14="validé","",IF('Detail Notes S3'!G14&gt;10,"validé","non validé"))</f>
        <v/>
      </c>
      <c r="G14" s="17" t="str">
        <f aca="false">IF(E14="validé","",IF('Detail Notes S3'!H14&gt;10,"validé","non validé"))</f>
        <v/>
      </c>
      <c r="H14" s="17" t="str">
        <f aca="false">IF(E14="validé","",IF('Detail Notes S3'!I14&gt;10,"validé","non validé"))</f>
        <v/>
      </c>
    </row>
    <row r="15" customFormat="false" ht="12.8" hidden="false" customHeight="false" outlineLevel="0" collapsed="false">
      <c r="A15" s="15" t="str">
        <f aca="false">Liste!A15</f>
        <v>20150938</v>
      </c>
      <c r="B15" s="15" t="str">
        <f aca="false">Liste!B15</f>
        <v>DEROSNE</v>
      </c>
      <c r="C15" s="15" t="str">
        <f aca="false">Liste!C15</f>
        <v>Florentin</v>
      </c>
      <c r="D15" s="17" t="str">
        <f aca="false">Liste!D15</f>
        <v>2-B</v>
      </c>
      <c r="E15" s="17" t="str">
        <f aca="false">IF(AND('Detail Notes S3'!E15&gt;10 , 'Detail Notes S3'!G15 &gt; 8 , 'Detail Notes S3'!H15&gt;8 , 'Detail Notes S3'!I15&gt; 8), "validé", "non validé")</f>
        <v>validé</v>
      </c>
      <c r="F15" s="17" t="str">
        <f aca="false">IF(E15="validé","",IF('Detail Notes S3'!G15&gt;10,"validé","non validé"))</f>
        <v/>
      </c>
      <c r="G15" s="17" t="str">
        <f aca="false">IF(E15="validé","",IF('Detail Notes S3'!H15&gt;10,"validé","non validé"))</f>
        <v/>
      </c>
      <c r="H15" s="17" t="str">
        <f aca="false">IF(E15="validé","",IF('Detail Notes S3'!I15&gt;10,"validé","non validé"))</f>
        <v/>
      </c>
    </row>
    <row r="16" customFormat="false" ht="12.8" hidden="false" customHeight="false" outlineLevel="0" collapsed="false">
      <c r="A16" s="15" t="str">
        <f aca="false">Liste!A16</f>
        <v>20150939</v>
      </c>
      <c r="B16" s="15" t="str">
        <f aca="false">Liste!B16</f>
        <v>DUHAUT</v>
      </c>
      <c r="C16" s="15" t="str">
        <f aca="false">Liste!C16</f>
        <v>Thomas</v>
      </c>
      <c r="D16" s="17" t="str">
        <f aca="false">Liste!D16</f>
        <v>2-A</v>
      </c>
      <c r="E16" s="17" t="str">
        <f aca="false">IF(AND('Detail Notes S3'!E16&gt;10 , 'Detail Notes S3'!G16 &gt; 8 , 'Detail Notes S3'!H16&gt;8 , 'Detail Notes S3'!I16&gt; 8), "validé", "non validé")</f>
        <v>validé</v>
      </c>
      <c r="F16" s="17" t="str">
        <f aca="false">IF(E16="validé","",IF('Detail Notes S3'!G16&gt;10,"validé","non validé"))</f>
        <v/>
      </c>
      <c r="G16" s="17" t="str">
        <f aca="false">IF(E16="validé","",IF('Detail Notes S3'!H16&gt;10,"validé","non validé"))</f>
        <v/>
      </c>
      <c r="H16" s="17" t="str">
        <f aca="false">IF(E16="validé","",IF('Detail Notes S3'!I16&gt;10,"validé","non validé"))</f>
        <v/>
      </c>
    </row>
    <row r="17" customFormat="false" ht="12.8" hidden="false" customHeight="false" outlineLevel="0" collapsed="false">
      <c r="A17" s="15" t="str">
        <f aca="false">Liste!A17</f>
        <v>20150940</v>
      </c>
      <c r="B17" s="15" t="str">
        <f aca="false">Liste!B17</f>
        <v>DUMETZ</v>
      </c>
      <c r="C17" s="15" t="str">
        <f aca="false">Liste!C17</f>
        <v>Joffrey</v>
      </c>
      <c r="D17" s="17" t="str">
        <f aca="false">Liste!D17</f>
        <v>2-C</v>
      </c>
      <c r="E17" s="17" t="str">
        <f aca="false">IF(AND('Detail Notes S3'!E17&gt;10 , 'Detail Notes S3'!G17 &gt; 8 , 'Detail Notes S3'!H17&gt;8 , 'Detail Notes S3'!I17&gt; 8), "validé", "non validé")</f>
        <v>validé</v>
      </c>
      <c r="F17" s="17" t="str">
        <f aca="false">IF(E17="validé","",IF('Detail Notes S3'!G17&gt;10,"validé","non validé"))</f>
        <v/>
      </c>
      <c r="G17" s="17" t="str">
        <f aca="false">IF(E17="validé","",IF('Detail Notes S3'!H17&gt;10,"validé","non validé"))</f>
        <v/>
      </c>
      <c r="H17" s="17" t="str">
        <f aca="false">IF(E17="validé","",IF('Detail Notes S3'!I17&gt;10,"validé","non validé"))</f>
        <v/>
      </c>
    </row>
    <row r="18" customFormat="false" ht="12.8" hidden="false" customHeight="false" outlineLevel="0" collapsed="false">
      <c r="A18" s="15" t="str">
        <f aca="false">Liste!A18</f>
        <v>20150941</v>
      </c>
      <c r="B18" s="15" t="str">
        <f aca="false">Liste!B18</f>
        <v>FEVRIER</v>
      </c>
      <c r="C18" s="15" t="str">
        <f aca="false">Liste!C18</f>
        <v>Tennessee</v>
      </c>
      <c r="D18" s="17" t="str">
        <f aca="false">Liste!D18</f>
        <v>2-C</v>
      </c>
      <c r="E18" s="17" t="str">
        <f aca="false">IF(AND('Detail Notes S3'!E18&gt;10 , 'Detail Notes S3'!G18 &gt; 8 , 'Detail Notes S3'!H18&gt;8 , 'Detail Notes S3'!I18&gt; 8), "validé", "non validé")</f>
        <v>non validé</v>
      </c>
      <c r="F18" s="17" t="str">
        <f aca="false">IF(E18="validé","",IF('Detail Notes S3'!G18&gt;10,"validé","non validé"))</f>
        <v>non validé</v>
      </c>
      <c r="G18" s="17" t="str">
        <f aca="false">IF(E18="validé","",IF('Detail Notes S3'!H18&gt;10,"validé","non validé"))</f>
        <v>non validé</v>
      </c>
      <c r="H18" s="17" t="str">
        <f aca="false">IF(E18="validé","",IF('Detail Notes S3'!I18&gt;10,"validé","non validé"))</f>
        <v>validé</v>
      </c>
    </row>
    <row r="19" customFormat="false" ht="12.8" hidden="false" customHeight="false" outlineLevel="0" collapsed="false">
      <c r="A19" s="15" t="str">
        <f aca="false">Liste!A19</f>
        <v>20150942</v>
      </c>
      <c r="B19" s="15" t="str">
        <f aca="false">Liste!B19</f>
        <v>FORGET</v>
      </c>
      <c r="C19" s="15" t="str">
        <f aca="false">Liste!C19</f>
        <v>Kévin</v>
      </c>
      <c r="D19" s="17" t="str">
        <f aca="false">Liste!D19</f>
        <v>2-B</v>
      </c>
      <c r="E19" s="17" t="str">
        <f aca="false">IF(AND('Detail Notes S3'!E19&gt;10 , 'Detail Notes S3'!G19 &gt; 8 , 'Detail Notes S3'!H19&gt;8 , 'Detail Notes S3'!I19&gt; 8), "validé", "non validé")</f>
        <v>non validé</v>
      </c>
      <c r="F19" s="17" t="str">
        <f aca="false">IF(E19="validé","",IF('Detail Notes S3'!G19&gt;10,"validé","non validé"))</f>
        <v>non validé</v>
      </c>
      <c r="G19" s="17" t="str">
        <f aca="false">IF(E19="validé","",IF('Detail Notes S3'!H19&gt;10,"validé","non validé"))</f>
        <v>non validé</v>
      </c>
      <c r="H19" s="17" t="str">
        <f aca="false">IF(E19="validé","",IF('Detail Notes S3'!I19&gt;10,"validé","non validé"))</f>
        <v>validé</v>
      </c>
    </row>
    <row r="20" customFormat="false" ht="12.8" hidden="false" customHeight="false" outlineLevel="0" collapsed="false">
      <c r="A20" s="15" t="str">
        <f aca="false">Liste!A20</f>
        <v>20150943</v>
      </c>
      <c r="B20" s="15" t="str">
        <f aca="false">Liste!B20</f>
        <v>FROISSART</v>
      </c>
      <c r="C20" s="15" t="str">
        <f aca="false">Liste!C20</f>
        <v>Marie</v>
      </c>
      <c r="D20" s="17" t="str">
        <f aca="false">Liste!D20</f>
        <v>2-B</v>
      </c>
      <c r="E20" s="17" t="str">
        <f aca="false">IF(AND('Detail Notes S3'!E20&gt;10 , 'Detail Notes S3'!G20 &gt; 8 , 'Detail Notes S3'!H20&gt;8 , 'Detail Notes S3'!I20&gt; 8), "validé", "non validé")</f>
        <v>validé</v>
      </c>
      <c r="F20" s="17" t="str">
        <f aca="false">IF(E20="validé","",IF('Detail Notes S3'!G20&gt;10,"validé","non validé"))</f>
        <v/>
      </c>
      <c r="G20" s="17" t="str">
        <f aca="false">IF(E20="validé","",IF('Detail Notes S3'!H20&gt;10,"validé","non validé"))</f>
        <v/>
      </c>
      <c r="H20" s="17" t="str">
        <f aca="false">IF(E20="validé","",IF('Detail Notes S3'!I20&gt;10,"validé","non validé"))</f>
        <v/>
      </c>
    </row>
    <row r="21" customFormat="false" ht="12.8" hidden="false" customHeight="false" outlineLevel="0" collapsed="false">
      <c r="A21" s="15" t="str">
        <f aca="false">Liste!A21</f>
        <v>20150944</v>
      </c>
      <c r="B21" s="15" t="str">
        <f aca="false">Liste!B21</f>
        <v>FRUY</v>
      </c>
      <c r="C21" s="15" t="str">
        <f aca="false">Liste!C21</f>
        <v>Sébastien</v>
      </c>
      <c r="D21" s="17" t="str">
        <f aca="false">Liste!D21</f>
        <v>2-B</v>
      </c>
      <c r="E21" s="17" t="str">
        <f aca="false">IF(AND('Detail Notes S3'!E21&gt;10 , 'Detail Notes S3'!G21 &gt; 8 , 'Detail Notes S3'!H21&gt;8 , 'Detail Notes S3'!I21&gt; 8), "validé", "non validé")</f>
        <v>non validé</v>
      </c>
      <c r="F21" s="17" t="str">
        <f aca="false">IF(E21="validé","",IF('Detail Notes S3'!G21&gt;10,"validé","non validé"))</f>
        <v>non validé</v>
      </c>
      <c r="G21" s="17" t="str">
        <f aca="false">IF(E21="validé","",IF('Detail Notes S3'!H21&gt;10,"validé","non validé"))</f>
        <v>non validé</v>
      </c>
      <c r="H21" s="17" t="str">
        <f aca="false">IF(E21="validé","",IF('Detail Notes S3'!I21&gt;10,"validé","non validé"))</f>
        <v>non validé</v>
      </c>
    </row>
    <row r="22" customFormat="false" ht="12.8" hidden="false" customHeight="false" outlineLevel="0" collapsed="false">
      <c r="A22" s="15" t="str">
        <f aca="false">Liste!A22</f>
        <v>20150945</v>
      </c>
      <c r="B22" s="15" t="str">
        <f aca="false">Liste!B22</f>
        <v>GEERAERT</v>
      </c>
      <c r="C22" s="15" t="str">
        <f aca="false">Liste!C22</f>
        <v>Quentin</v>
      </c>
      <c r="D22" s="17" t="str">
        <f aca="false">Liste!D22</f>
        <v>2-C</v>
      </c>
      <c r="E22" s="17" t="str">
        <f aca="false">IF(AND('Detail Notes S3'!E22&gt;10 , 'Detail Notes S3'!G22 &gt; 8 , 'Detail Notes S3'!H22&gt;8 , 'Detail Notes S3'!I22&gt; 8), "validé", "non validé")</f>
        <v>validé</v>
      </c>
      <c r="F22" s="17" t="str">
        <f aca="false">IF(E22="validé","",IF('Detail Notes S3'!G22&gt;10,"validé","non validé"))</f>
        <v/>
      </c>
      <c r="G22" s="17" t="str">
        <f aca="false">IF(E22="validé","",IF('Detail Notes S3'!H22&gt;10,"validé","non validé"))</f>
        <v/>
      </c>
      <c r="H22" s="17" t="str">
        <f aca="false">IF(E22="validé","",IF('Detail Notes S3'!I22&gt;10,"validé","non validé"))</f>
        <v/>
      </c>
    </row>
    <row r="23" customFormat="false" ht="12.8" hidden="false" customHeight="false" outlineLevel="0" collapsed="false">
      <c r="A23" s="15" t="str">
        <f aca="false">Liste!A23</f>
        <v>20150946</v>
      </c>
      <c r="B23" s="15" t="str">
        <f aca="false">Liste!B23</f>
        <v>GREMBER</v>
      </c>
      <c r="C23" s="15" t="str">
        <f aca="false">Liste!C23</f>
        <v>Nicolas</v>
      </c>
      <c r="D23" s="17" t="str">
        <f aca="false">Liste!D23</f>
        <v>2-A</v>
      </c>
      <c r="E23" s="17" t="str">
        <f aca="false">IF(AND('Detail Notes S3'!E23&gt;10 , 'Detail Notes S3'!G23 &gt; 8 , 'Detail Notes S3'!H23&gt;8 , 'Detail Notes S3'!I23&gt; 8), "validé", "non validé")</f>
        <v>validé</v>
      </c>
      <c r="F23" s="17" t="str">
        <f aca="false">IF(E23="validé","",IF('Detail Notes S3'!G23&gt;10,"validé","non validé"))</f>
        <v/>
      </c>
      <c r="G23" s="17" t="str">
        <f aca="false">IF(E23="validé","",IF('Detail Notes S3'!H23&gt;10,"validé","non validé"))</f>
        <v/>
      </c>
      <c r="H23" s="17" t="str">
        <f aca="false">IF(E23="validé","",IF('Detail Notes S3'!I23&gt;10,"validé","non validé"))</f>
        <v/>
      </c>
    </row>
    <row r="24" customFormat="false" ht="12.8" hidden="false" customHeight="false" outlineLevel="0" collapsed="false">
      <c r="A24" s="15" t="str">
        <f aca="false">Liste!A24</f>
        <v>20150947</v>
      </c>
      <c r="B24" s="15" t="str">
        <f aca="false">Liste!B24</f>
        <v>HENNAUT</v>
      </c>
      <c r="C24" s="15" t="str">
        <f aca="false">Liste!C24</f>
        <v>Thibaut</v>
      </c>
      <c r="D24" s="17" t="str">
        <f aca="false">Liste!D24</f>
        <v>2-A</v>
      </c>
      <c r="E24" s="17" t="str">
        <f aca="false">IF(AND('Detail Notes S3'!E24&gt;10 , 'Detail Notes S3'!G24 &gt; 8 , 'Detail Notes S3'!H24&gt;8 , 'Detail Notes S3'!I24&gt; 8), "validé", "non validé")</f>
        <v>validé</v>
      </c>
      <c r="F24" s="17" t="str">
        <f aca="false">IF(E24="validé","",IF('Detail Notes S3'!G24&gt;10,"validé","non validé"))</f>
        <v/>
      </c>
      <c r="G24" s="17" t="str">
        <f aca="false">IF(E24="validé","",IF('Detail Notes S3'!H24&gt;10,"validé","non validé"))</f>
        <v/>
      </c>
      <c r="H24" s="17" t="str">
        <f aca="false">IF(E24="validé","",IF('Detail Notes S3'!I24&gt;10,"validé","non validé"))</f>
        <v/>
      </c>
    </row>
    <row r="25" customFormat="false" ht="12.8" hidden="false" customHeight="false" outlineLevel="0" collapsed="false">
      <c r="A25" s="15" t="str">
        <f aca="false">Liste!A25</f>
        <v>20150948</v>
      </c>
      <c r="B25" s="15" t="str">
        <f aca="false">Liste!B25</f>
        <v>KURZAWSKI</v>
      </c>
      <c r="C25" s="15" t="str">
        <f aca="false">Liste!C25</f>
        <v>Pierre</v>
      </c>
      <c r="D25" s="17" t="str">
        <f aca="false">Liste!D25</f>
        <v>2-B</v>
      </c>
      <c r="E25" s="17" t="str">
        <f aca="false">IF(AND('Detail Notes S3'!E25&gt;10 , 'Detail Notes S3'!G25 &gt; 8 , 'Detail Notes S3'!H25&gt;8 , 'Detail Notes S3'!I25&gt; 8), "validé", "non validé")</f>
        <v>validé</v>
      </c>
      <c r="F25" s="17" t="str">
        <f aca="false">IF(E25="validé","",IF('Detail Notes S3'!G25&gt;10,"validé","non validé"))</f>
        <v/>
      </c>
      <c r="G25" s="17" t="str">
        <f aca="false">IF(E25="validé","",IF('Detail Notes S3'!H25&gt;10,"validé","non validé"))</f>
        <v/>
      </c>
      <c r="H25" s="17" t="str">
        <f aca="false">IF(E25="validé","",IF('Detail Notes S3'!I25&gt;10,"validé","non validé"))</f>
        <v/>
      </c>
    </row>
    <row r="26" customFormat="false" ht="12.8" hidden="false" customHeight="false" outlineLevel="0" collapsed="false">
      <c r="A26" s="15" t="str">
        <f aca="false">Liste!A26</f>
        <v>20150949</v>
      </c>
      <c r="B26" s="15" t="str">
        <f aca="false">Liste!B26</f>
        <v>LAMBERSENS</v>
      </c>
      <c r="C26" s="15" t="str">
        <f aca="false">Liste!C26</f>
        <v>Adrien</v>
      </c>
      <c r="D26" s="17" t="str">
        <f aca="false">Liste!D26</f>
        <v>2-B</v>
      </c>
      <c r="E26" s="17" t="str">
        <f aca="false">IF(AND('Detail Notes S3'!E26&gt;10 , 'Detail Notes S3'!G26 &gt; 8 , 'Detail Notes S3'!H26&gt;8 , 'Detail Notes S3'!I26&gt; 8), "validé", "non validé")</f>
        <v>validé</v>
      </c>
      <c r="F26" s="17" t="str">
        <f aca="false">IF(E26="validé","",IF('Detail Notes S3'!G26&gt;10,"validé","non validé"))</f>
        <v/>
      </c>
      <c r="G26" s="17" t="str">
        <f aca="false">IF(E26="validé","",IF('Detail Notes S3'!H26&gt;10,"validé","non validé"))</f>
        <v/>
      </c>
      <c r="H26" s="17" t="str">
        <f aca="false">IF(E26="validé","",IF('Detail Notes S3'!I26&gt;10,"validé","non validé"))</f>
        <v/>
      </c>
    </row>
    <row r="27" customFormat="false" ht="12.8" hidden="false" customHeight="false" outlineLevel="0" collapsed="false">
      <c r="A27" s="15" t="str">
        <f aca="false">Liste!A27</f>
        <v>20150950</v>
      </c>
      <c r="B27" s="15" t="str">
        <f aca="false">Liste!B27</f>
        <v>LE FOLL</v>
      </c>
      <c r="C27" s="15" t="str">
        <f aca="false">Liste!C27</f>
        <v>Coralie</v>
      </c>
      <c r="D27" s="17" t="str">
        <f aca="false">Liste!D27</f>
        <v>2-A</v>
      </c>
      <c r="E27" s="17" t="str">
        <f aca="false">IF(AND('Detail Notes S3'!E27&gt;10 , 'Detail Notes S3'!G27 &gt; 8 , 'Detail Notes S3'!H27&gt;8 , 'Detail Notes S3'!I27&gt; 8), "validé", "non validé")</f>
        <v>validé</v>
      </c>
      <c r="F27" s="17" t="str">
        <f aca="false">IF(E27="validé","",IF('Detail Notes S3'!G27&gt;10,"validé","non validé"))</f>
        <v/>
      </c>
      <c r="G27" s="17" t="str">
        <f aca="false">IF(E27="validé","",IF('Detail Notes S3'!H27&gt;10,"validé","non validé"))</f>
        <v/>
      </c>
      <c r="H27" s="17" t="str">
        <f aca="false">IF(E27="validé","",IF('Detail Notes S3'!I27&gt;10,"validé","non validé"))</f>
        <v/>
      </c>
    </row>
    <row r="28" customFormat="false" ht="12.8" hidden="false" customHeight="false" outlineLevel="0" collapsed="false">
      <c r="A28" s="15" t="str">
        <f aca="false">Liste!A28</f>
        <v>20150951</v>
      </c>
      <c r="B28" s="15" t="str">
        <f aca="false">Liste!B28</f>
        <v>LECHA</v>
      </c>
      <c r="C28" s="15" t="str">
        <f aca="false">Liste!C28</f>
        <v>Benjamin</v>
      </c>
      <c r="D28" s="17" t="str">
        <f aca="false">Liste!D28</f>
        <v>2-C</v>
      </c>
      <c r="E28" s="17" t="str">
        <f aca="false">IF(AND('Detail Notes S3'!E28&gt;10 , 'Detail Notes S3'!G28 &gt; 8 , 'Detail Notes S3'!H28&gt;8 , 'Detail Notes S3'!I28&gt; 8), "validé", "non validé")</f>
        <v>validé</v>
      </c>
      <c r="F28" s="17" t="str">
        <f aca="false">IF(E28="validé","",IF('Detail Notes S3'!G28&gt;10,"validé","non validé"))</f>
        <v/>
      </c>
      <c r="G28" s="17" t="str">
        <f aca="false">IF(E28="validé","",IF('Detail Notes S3'!H28&gt;10,"validé","non validé"))</f>
        <v/>
      </c>
      <c r="H28" s="17" t="str">
        <f aca="false">IF(E28="validé","",IF('Detail Notes S3'!I28&gt;10,"validé","non validé"))</f>
        <v/>
      </c>
    </row>
    <row r="29" customFormat="false" ht="12.8" hidden="false" customHeight="false" outlineLevel="0" collapsed="false">
      <c r="A29" s="15" t="str">
        <f aca="false">Liste!A29</f>
        <v>20150952</v>
      </c>
      <c r="B29" s="15" t="str">
        <f aca="false">Liste!B29</f>
        <v>LEFAIT</v>
      </c>
      <c r="C29" s="15" t="str">
        <f aca="false">Liste!C29</f>
        <v>Romain</v>
      </c>
      <c r="D29" s="17" t="str">
        <f aca="false">Liste!D29</f>
        <v>2-B</v>
      </c>
      <c r="E29" s="17" t="str">
        <f aca="false">IF(AND('Detail Notes S3'!E29&gt;10 , 'Detail Notes S3'!G29 &gt; 8 , 'Detail Notes S3'!H29&gt;8 , 'Detail Notes S3'!I29&gt; 8), "validé", "non validé")</f>
        <v>validé</v>
      </c>
      <c r="F29" s="17" t="str">
        <f aca="false">IF(E29="validé","",IF('Detail Notes S3'!G29&gt;10,"validé","non validé"))</f>
        <v/>
      </c>
      <c r="G29" s="17" t="str">
        <f aca="false">IF(E29="validé","",IF('Detail Notes S3'!H29&gt;10,"validé","non validé"))</f>
        <v/>
      </c>
      <c r="H29" s="17" t="str">
        <f aca="false">IF(E29="validé","",IF('Detail Notes S3'!I29&gt;10,"validé","non validé"))</f>
        <v/>
      </c>
    </row>
    <row r="30" customFormat="false" ht="12.8" hidden="false" customHeight="false" outlineLevel="0" collapsed="false">
      <c r="A30" s="15" t="str">
        <f aca="false">Liste!A30</f>
        <v>20150953</v>
      </c>
      <c r="B30" s="15" t="str">
        <f aca="false">Liste!B30</f>
        <v>LEFEBVRE</v>
      </c>
      <c r="C30" s="15" t="str">
        <f aca="false">Liste!C30</f>
        <v>Jéremy</v>
      </c>
      <c r="D30" s="17" t="str">
        <f aca="false">Liste!D30</f>
        <v>2-B</v>
      </c>
      <c r="E30" s="17" t="str">
        <f aca="false">IF(AND('Detail Notes S3'!E30&gt;10 , 'Detail Notes S3'!G30 &gt; 8 , 'Detail Notes S3'!H30&gt;8 , 'Detail Notes S3'!I30&gt; 8), "validé", "non validé")</f>
        <v>validé</v>
      </c>
      <c r="F30" s="17" t="str">
        <f aca="false">IF(E30="validé","",IF('Detail Notes S3'!G30&gt;10,"validé","non validé"))</f>
        <v/>
      </c>
      <c r="G30" s="17" t="str">
        <f aca="false">IF(E30="validé","",IF('Detail Notes S3'!H30&gt;10,"validé","non validé"))</f>
        <v/>
      </c>
      <c r="H30" s="17" t="str">
        <f aca="false">IF(E30="validé","",IF('Detail Notes S3'!I30&gt;10,"validé","non validé"))</f>
        <v/>
      </c>
    </row>
    <row r="31" customFormat="false" ht="12.8" hidden="false" customHeight="false" outlineLevel="0" collapsed="false">
      <c r="A31" s="15" t="str">
        <f aca="false">Liste!A31</f>
        <v>20150954</v>
      </c>
      <c r="B31" s="15" t="str">
        <f aca="false">Liste!B31</f>
        <v>LEFEBVRE</v>
      </c>
      <c r="C31" s="15" t="str">
        <f aca="false">Liste!C31</f>
        <v>Kévin</v>
      </c>
      <c r="D31" s="17" t="str">
        <f aca="false">Liste!D31</f>
        <v>2-A</v>
      </c>
      <c r="E31" s="17" t="str">
        <f aca="false">IF(AND('Detail Notes S3'!E31&gt;10 , 'Detail Notes S3'!G31 &gt; 8 , 'Detail Notes S3'!H31&gt;8 , 'Detail Notes S3'!I31&gt; 8), "validé", "non validé")</f>
        <v>validé</v>
      </c>
      <c r="F31" s="17" t="str">
        <f aca="false">IF(E31="validé","",IF('Detail Notes S3'!G31&gt;10,"validé","non validé"))</f>
        <v/>
      </c>
      <c r="G31" s="17" t="str">
        <f aca="false">IF(E31="validé","",IF('Detail Notes S3'!H31&gt;10,"validé","non validé"))</f>
        <v/>
      </c>
      <c r="H31" s="17" t="str">
        <f aca="false">IF(E31="validé","",IF('Detail Notes S3'!I31&gt;10,"validé","non validé"))</f>
        <v/>
      </c>
    </row>
    <row r="32" customFormat="false" ht="12.8" hidden="false" customHeight="false" outlineLevel="0" collapsed="false">
      <c r="A32" s="15" t="str">
        <f aca="false">Liste!A32</f>
        <v>20150955</v>
      </c>
      <c r="B32" s="15" t="str">
        <f aca="false">Liste!B32</f>
        <v>LEGRAND</v>
      </c>
      <c r="C32" s="15" t="str">
        <f aca="false">Liste!C32</f>
        <v>Baptiste</v>
      </c>
      <c r="D32" s="17" t="str">
        <f aca="false">Liste!D32</f>
        <v>2-C</v>
      </c>
      <c r="E32" s="17" t="str">
        <f aca="false">IF(AND('Detail Notes S3'!E32&gt;10 , 'Detail Notes S3'!G32 &gt; 8 , 'Detail Notes S3'!H32&gt;8 , 'Detail Notes S3'!I32&gt; 8), "validé", "non validé")</f>
        <v>validé</v>
      </c>
      <c r="F32" s="17" t="str">
        <f aca="false">IF(E32="validé","",IF('Detail Notes S3'!G32&gt;10,"validé","non validé"))</f>
        <v/>
      </c>
      <c r="G32" s="17" t="str">
        <f aca="false">IF(E32="validé","",IF('Detail Notes S3'!H32&gt;10,"validé","non validé"))</f>
        <v/>
      </c>
      <c r="H32" s="17" t="str">
        <f aca="false">IF(E32="validé","",IF('Detail Notes S3'!I32&gt;10,"validé","non validé"))</f>
        <v/>
      </c>
    </row>
    <row r="33" customFormat="false" ht="12.8" hidden="false" customHeight="false" outlineLevel="0" collapsed="false">
      <c r="A33" s="15" t="str">
        <f aca="false">Liste!A33</f>
        <v>20150956</v>
      </c>
      <c r="B33" s="15" t="str">
        <f aca="false">Liste!B33</f>
        <v>LEGRU</v>
      </c>
      <c r="C33" s="15" t="str">
        <f aca="false">Liste!C33</f>
        <v>Florent</v>
      </c>
      <c r="D33" s="17" t="str">
        <f aca="false">Liste!D33</f>
        <v>2-B</v>
      </c>
      <c r="E33" s="17" t="str">
        <f aca="false">IF(AND('Detail Notes S3'!E33&gt;10 , 'Detail Notes S3'!G33 &gt; 8 , 'Detail Notes S3'!H33&gt;8 , 'Detail Notes S3'!I33&gt; 8), "validé", "non validé")</f>
        <v>validé</v>
      </c>
      <c r="F33" s="17" t="str">
        <f aca="false">IF(E33="validé","",IF('Detail Notes S3'!G33&gt;10,"validé","non validé"))</f>
        <v/>
      </c>
      <c r="G33" s="17" t="str">
        <f aca="false">IF(E33="validé","",IF('Detail Notes S3'!H33&gt;10,"validé","non validé"))</f>
        <v/>
      </c>
      <c r="H33" s="17" t="str">
        <f aca="false">IF(E33="validé","",IF('Detail Notes S3'!I33&gt;10,"validé","non validé"))</f>
        <v/>
      </c>
    </row>
    <row r="34" customFormat="false" ht="12.8" hidden="false" customHeight="false" outlineLevel="0" collapsed="false">
      <c r="A34" s="15" t="str">
        <f aca="false">Liste!A34</f>
        <v>20150957</v>
      </c>
      <c r="B34" s="15" t="str">
        <f aca="false">Liste!B34</f>
        <v>LEMAITRE</v>
      </c>
      <c r="C34" s="15" t="str">
        <f aca="false">Liste!C34</f>
        <v>Valentin</v>
      </c>
      <c r="D34" s="17" t="str">
        <f aca="false">Liste!D34</f>
        <v>2-C</v>
      </c>
      <c r="E34" s="17" t="str">
        <f aca="false">IF(AND('Detail Notes S3'!E34&gt;10 , 'Detail Notes S3'!G34 &gt; 8 , 'Detail Notes S3'!H34&gt;8 , 'Detail Notes S3'!I34&gt; 8), "validé", "non validé")</f>
        <v>validé</v>
      </c>
      <c r="F34" s="17" t="str">
        <f aca="false">IF(E34="validé","",IF('Detail Notes S3'!G34&gt;10,"validé","non validé"))</f>
        <v/>
      </c>
      <c r="G34" s="17" t="str">
        <f aca="false">IF(E34="validé","",IF('Detail Notes S3'!H34&gt;10,"validé","non validé"))</f>
        <v/>
      </c>
      <c r="H34" s="17" t="str">
        <f aca="false">IF(E34="validé","",IF('Detail Notes S3'!I34&gt;10,"validé","non validé"))</f>
        <v/>
      </c>
    </row>
    <row r="35" customFormat="false" ht="12.8" hidden="false" customHeight="false" outlineLevel="0" collapsed="false">
      <c r="A35" s="15" t="str">
        <f aca="false">Liste!A35</f>
        <v>20150958</v>
      </c>
      <c r="B35" s="15" t="str">
        <f aca="false">Liste!B35</f>
        <v>LESAFFRE</v>
      </c>
      <c r="C35" s="15" t="str">
        <f aca="false">Liste!C35</f>
        <v>Romain</v>
      </c>
      <c r="D35" s="17" t="str">
        <f aca="false">Liste!D35</f>
        <v>2-A</v>
      </c>
      <c r="E35" s="17" t="str">
        <f aca="false">IF(AND('Detail Notes S3'!E35&gt;10 , 'Detail Notes S3'!G35 &gt; 8 , 'Detail Notes S3'!H35&gt;8 , 'Detail Notes S3'!I35&gt; 8), "validé", "non validé")</f>
        <v>validé</v>
      </c>
      <c r="F35" s="17" t="str">
        <f aca="false">IF(E35="validé","",IF('Detail Notes S3'!G35&gt;10,"validé","non validé"))</f>
        <v/>
      </c>
      <c r="G35" s="17" t="str">
        <f aca="false">IF(E35="validé","",IF('Detail Notes S3'!H35&gt;10,"validé","non validé"))</f>
        <v/>
      </c>
      <c r="H35" s="17" t="str">
        <f aca="false">IF(E35="validé","",IF('Detail Notes S3'!I35&gt;10,"validé","non validé"))</f>
        <v/>
      </c>
    </row>
    <row r="36" customFormat="false" ht="12.8" hidden="false" customHeight="false" outlineLevel="0" collapsed="false">
      <c r="A36" s="15" t="str">
        <f aca="false">Liste!A36</f>
        <v>20150959</v>
      </c>
      <c r="B36" s="15" t="str">
        <f aca="false">Liste!B36</f>
        <v>LETERTRE</v>
      </c>
      <c r="C36" s="15" t="str">
        <f aca="false">Liste!C36</f>
        <v>Florian</v>
      </c>
      <c r="D36" s="17" t="str">
        <f aca="false">Liste!D36</f>
        <v>2-C</v>
      </c>
      <c r="E36" s="17" t="str">
        <f aca="false">IF(AND('Detail Notes S3'!E36&gt;10 , 'Detail Notes S3'!G36 &gt; 8 , 'Detail Notes S3'!H36&gt;8 , 'Detail Notes S3'!I36&gt; 8), "validé", "non validé")</f>
        <v>validé</v>
      </c>
      <c r="F36" s="17" t="str">
        <f aca="false">IF(E36="validé","",IF('Detail Notes S3'!G36&gt;10,"validé","non validé"))</f>
        <v/>
      </c>
      <c r="G36" s="17" t="str">
        <f aca="false">IF(E36="validé","",IF('Detail Notes S3'!H36&gt;10,"validé","non validé"))</f>
        <v/>
      </c>
      <c r="H36" s="17" t="str">
        <f aca="false">IF(E36="validé","",IF('Detail Notes S3'!I36&gt;10,"validé","non validé"))</f>
        <v/>
      </c>
    </row>
    <row r="37" customFormat="false" ht="12.8" hidden="false" customHeight="false" outlineLevel="0" collapsed="false">
      <c r="A37" s="15" t="str">
        <f aca="false">Liste!A37</f>
        <v>20150960</v>
      </c>
      <c r="B37" s="15" t="str">
        <f aca="false">Liste!B37</f>
        <v>LONGOUR</v>
      </c>
      <c r="C37" s="15" t="str">
        <f aca="false">Liste!C37</f>
        <v>David</v>
      </c>
      <c r="D37" s="17" t="str">
        <f aca="false">Liste!D37</f>
        <v>2-A</v>
      </c>
      <c r="E37" s="17" t="str">
        <f aca="false">IF(AND('Detail Notes S3'!E37&gt;10 , 'Detail Notes S3'!G37 &gt; 8 , 'Detail Notes S3'!H37&gt;8 , 'Detail Notes S3'!I37&gt; 8), "validé", "non validé")</f>
        <v>validé</v>
      </c>
      <c r="F37" s="17" t="str">
        <f aca="false">IF(E37="validé","",IF('Detail Notes S3'!G37&gt;10,"validé","non validé"))</f>
        <v/>
      </c>
      <c r="G37" s="17" t="str">
        <f aca="false">IF(E37="validé","",IF('Detail Notes S3'!H37&gt;10,"validé","non validé"))</f>
        <v/>
      </c>
      <c r="H37" s="17" t="str">
        <f aca="false">IF(E37="validé","",IF('Detail Notes S3'!I37&gt;10,"validé","non validé"))</f>
        <v/>
      </c>
    </row>
    <row r="38" customFormat="false" ht="12.8" hidden="false" customHeight="false" outlineLevel="0" collapsed="false">
      <c r="A38" s="15" t="str">
        <f aca="false">Liste!A38</f>
        <v>20150961</v>
      </c>
      <c r="B38" s="15" t="str">
        <f aca="false">Liste!B38</f>
        <v>LOOPE</v>
      </c>
      <c r="C38" s="15" t="str">
        <f aca="false">Liste!C38</f>
        <v>Giovanni</v>
      </c>
      <c r="D38" s="17" t="str">
        <f aca="false">Liste!D38</f>
        <v>2-A</v>
      </c>
      <c r="E38" s="17" t="str">
        <f aca="false">IF(AND('Detail Notes S3'!E38&gt;10 , 'Detail Notes S3'!G38 &gt; 8 , 'Detail Notes S3'!H38&gt;8 , 'Detail Notes S3'!I38&gt; 8), "validé", "non validé")</f>
        <v>non validé</v>
      </c>
      <c r="F38" s="17" t="str">
        <f aca="false">IF(E38="validé","",IF('Detail Notes S3'!G38&gt;10,"validé","non validé"))</f>
        <v>non validé</v>
      </c>
      <c r="G38" s="17" t="str">
        <f aca="false">IF(E38="validé","",IF('Detail Notes S3'!H38&gt;10,"validé","non validé"))</f>
        <v>validé</v>
      </c>
      <c r="H38" s="17" t="str">
        <f aca="false">IF(E38="validé","",IF('Detail Notes S3'!I38&gt;10,"validé","non validé"))</f>
        <v>validé</v>
      </c>
    </row>
    <row r="39" customFormat="false" ht="12.8" hidden="false" customHeight="false" outlineLevel="0" collapsed="false">
      <c r="A39" s="15" t="str">
        <f aca="false">Liste!A39</f>
        <v>20150962</v>
      </c>
      <c r="B39" s="15" t="str">
        <f aca="false">Liste!B39</f>
        <v>MAERTEN</v>
      </c>
      <c r="C39" s="15" t="str">
        <f aca="false">Liste!C39</f>
        <v>Nicolas</v>
      </c>
      <c r="D39" s="17" t="str">
        <f aca="false">Liste!D39</f>
        <v>2-A</v>
      </c>
      <c r="E39" s="17" t="str">
        <f aca="false">IF(AND('Detail Notes S3'!E39&gt;10 , 'Detail Notes S3'!G39 &gt; 8 , 'Detail Notes S3'!H39&gt;8 , 'Detail Notes S3'!I39&gt; 8), "validé", "non validé")</f>
        <v>validé</v>
      </c>
      <c r="F39" s="17" t="str">
        <f aca="false">IF(E39="validé","",IF('Detail Notes S3'!G39&gt;10,"validé","non validé"))</f>
        <v/>
      </c>
      <c r="G39" s="17" t="str">
        <f aca="false">IF(E39="validé","",IF('Detail Notes S3'!H39&gt;10,"validé","non validé"))</f>
        <v/>
      </c>
      <c r="H39" s="17" t="str">
        <f aca="false">IF(E39="validé","",IF('Detail Notes S3'!I39&gt;10,"validé","non validé"))</f>
        <v/>
      </c>
    </row>
    <row r="40" customFormat="false" ht="12.8" hidden="false" customHeight="false" outlineLevel="0" collapsed="false">
      <c r="A40" s="15" t="str">
        <f aca="false">Liste!A40</f>
        <v>20150963</v>
      </c>
      <c r="B40" s="15" t="str">
        <f aca="false">Liste!B40</f>
        <v>MAILLOT</v>
      </c>
      <c r="C40" s="15" t="str">
        <f aca="false">Liste!C40</f>
        <v>Maxime</v>
      </c>
      <c r="D40" s="17" t="str">
        <f aca="false">Liste!D40</f>
        <v>2-B</v>
      </c>
      <c r="E40" s="17" t="str">
        <f aca="false">IF(AND('Detail Notes S3'!E40&gt;10 , 'Detail Notes S3'!G40 &gt; 8 , 'Detail Notes S3'!H40&gt;8 , 'Detail Notes S3'!I40&gt; 8), "validé", "non validé")</f>
        <v>validé</v>
      </c>
      <c r="F40" s="17" t="str">
        <f aca="false">IF(E40="validé","",IF('Detail Notes S3'!G40&gt;10,"validé","non validé"))</f>
        <v/>
      </c>
      <c r="G40" s="17" t="str">
        <f aca="false">IF(E40="validé","",IF('Detail Notes S3'!H40&gt;10,"validé","non validé"))</f>
        <v/>
      </c>
      <c r="H40" s="17" t="str">
        <f aca="false">IF(E40="validé","",IF('Detail Notes S3'!I40&gt;10,"validé","non validé"))</f>
        <v/>
      </c>
    </row>
    <row r="41" customFormat="false" ht="12.8" hidden="false" customHeight="false" outlineLevel="0" collapsed="false">
      <c r="A41" s="15" t="str">
        <f aca="false">Liste!A41</f>
        <v>20150964</v>
      </c>
      <c r="B41" s="15" t="str">
        <f aca="false">Liste!B41</f>
        <v>MARIE</v>
      </c>
      <c r="C41" s="15" t="str">
        <f aca="false">Liste!C41</f>
        <v>Louis</v>
      </c>
      <c r="D41" s="17" t="str">
        <f aca="false">Liste!D41</f>
        <v>2-A</v>
      </c>
      <c r="E41" s="17" t="str">
        <f aca="false">IF(AND('Detail Notes S3'!E41&gt;10 , 'Detail Notes S3'!G41 &gt; 8 , 'Detail Notes S3'!H41&gt;8 , 'Detail Notes S3'!I41&gt; 8), "validé", "non validé")</f>
        <v>validé</v>
      </c>
      <c r="F41" s="17" t="str">
        <f aca="false">IF(E41="validé","",IF('Detail Notes S3'!G41&gt;10,"validé","non validé"))</f>
        <v/>
      </c>
      <c r="G41" s="17" t="str">
        <f aca="false">IF(E41="validé","",IF('Detail Notes S3'!H41&gt;10,"validé","non validé"))</f>
        <v/>
      </c>
      <c r="H41" s="17" t="str">
        <f aca="false">IF(E41="validé","",IF('Detail Notes S3'!I41&gt;10,"validé","non validé"))</f>
        <v/>
      </c>
    </row>
    <row r="42" customFormat="false" ht="12.8" hidden="false" customHeight="false" outlineLevel="0" collapsed="false">
      <c r="A42" s="15" t="str">
        <f aca="false">Liste!A42</f>
        <v>20150965</v>
      </c>
      <c r="B42" s="15" t="str">
        <f aca="false">Liste!B42</f>
        <v>MARTIN</v>
      </c>
      <c r="C42" s="15" t="str">
        <f aca="false">Liste!C42</f>
        <v>Alexandre</v>
      </c>
      <c r="D42" s="17" t="str">
        <f aca="false">Liste!D42</f>
        <v>2-C</v>
      </c>
      <c r="E42" s="17" t="str">
        <f aca="false">IF(AND('Detail Notes S3'!E42&gt;10 , 'Detail Notes S3'!G42 &gt; 8 , 'Detail Notes S3'!H42&gt;8 , 'Detail Notes S3'!I42&gt; 8), "validé", "non validé")</f>
        <v>validé</v>
      </c>
      <c r="F42" s="17" t="str">
        <f aca="false">IF(E42="validé","",IF('Detail Notes S3'!G42&gt;10,"validé","non validé"))</f>
        <v/>
      </c>
      <c r="G42" s="17" t="str">
        <f aca="false">IF(E42="validé","",IF('Detail Notes S3'!H42&gt;10,"validé","non validé"))</f>
        <v/>
      </c>
      <c r="H42" s="17" t="str">
        <f aca="false">IF(E42="validé","",IF('Detail Notes S3'!I42&gt;10,"validé","non validé"))</f>
        <v/>
      </c>
    </row>
    <row r="43" customFormat="false" ht="12.8" hidden="false" customHeight="false" outlineLevel="0" collapsed="false">
      <c r="A43" s="15" t="str">
        <f aca="false">Liste!A43</f>
        <v>20150966</v>
      </c>
      <c r="B43" s="15" t="str">
        <f aca="false">Liste!B43</f>
        <v>MASSELOT</v>
      </c>
      <c r="C43" s="15" t="str">
        <f aca="false">Liste!C43</f>
        <v>Romain</v>
      </c>
      <c r="D43" s="17" t="str">
        <f aca="false">Liste!D43</f>
        <v>2-A</v>
      </c>
      <c r="E43" s="17" t="str">
        <f aca="false">IF(AND('Detail Notes S3'!E43&gt;10 , 'Detail Notes S3'!G43 &gt; 8 , 'Detail Notes S3'!H43&gt;8 , 'Detail Notes S3'!I43&gt; 8), "validé", "non validé")</f>
        <v>non validé</v>
      </c>
      <c r="F43" s="17" t="str">
        <f aca="false">IF(E43="validé","",IF('Detail Notes S3'!G43&gt;10,"validé","non validé"))</f>
        <v>validé</v>
      </c>
      <c r="G43" s="17" t="str">
        <f aca="false">IF(E43="validé","",IF('Detail Notes S3'!H43&gt;10,"validé","non validé"))</f>
        <v>validé</v>
      </c>
      <c r="H43" s="17" t="str">
        <f aca="false">IF(E43="validé","",IF('Detail Notes S3'!I43&gt;10,"validé","non validé"))</f>
        <v>non validé</v>
      </c>
    </row>
    <row r="44" customFormat="false" ht="12.8" hidden="false" customHeight="false" outlineLevel="0" collapsed="false">
      <c r="A44" s="15" t="str">
        <f aca="false">Liste!A44</f>
        <v>20150967</v>
      </c>
      <c r="B44" s="15" t="str">
        <f aca="false">Liste!B44</f>
        <v>MERLIN</v>
      </c>
      <c r="C44" s="15" t="str">
        <f aca="false">Liste!C44</f>
        <v>Anthony</v>
      </c>
      <c r="D44" s="17" t="str">
        <f aca="false">Liste!D44</f>
        <v>2-A</v>
      </c>
      <c r="E44" s="17" t="str">
        <f aca="false">IF(AND('Detail Notes S3'!E44&gt;10 , 'Detail Notes S3'!G44 &gt; 8 , 'Detail Notes S3'!H44&gt;8 , 'Detail Notes S3'!I44&gt; 8), "validé", "non validé")</f>
        <v>validé</v>
      </c>
      <c r="F44" s="17" t="str">
        <f aca="false">IF(E44="validé","",IF('Detail Notes S3'!G44&gt;10,"validé","non validé"))</f>
        <v/>
      </c>
      <c r="G44" s="17" t="str">
        <f aca="false">IF(E44="validé","",IF('Detail Notes S3'!H44&gt;10,"validé","non validé"))</f>
        <v/>
      </c>
      <c r="H44" s="17" t="str">
        <f aca="false">IF(E44="validé","",IF('Detail Notes S3'!I44&gt;10,"validé","non validé"))</f>
        <v/>
      </c>
    </row>
    <row r="45" customFormat="false" ht="12.8" hidden="false" customHeight="false" outlineLevel="0" collapsed="false">
      <c r="A45" s="15" t="str">
        <f aca="false">Liste!A45</f>
        <v>20150968</v>
      </c>
      <c r="B45" s="15" t="str">
        <f aca="false">Liste!B45</f>
        <v>PETIT</v>
      </c>
      <c r="C45" s="15" t="str">
        <f aca="false">Liste!C45</f>
        <v>Chloe</v>
      </c>
      <c r="D45" s="17" t="str">
        <f aca="false">Liste!D45</f>
        <v>2-C</v>
      </c>
      <c r="E45" s="17" t="str">
        <f aca="false">IF(AND('Detail Notes S3'!E45&gt;10 , 'Detail Notes S3'!G45 &gt; 8 , 'Detail Notes S3'!H45&gt;8 , 'Detail Notes S3'!I45&gt; 8), "validé", "non validé")</f>
        <v>validé</v>
      </c>
      <c r="F45" s="17" t="str">
        <f aca="false">IF(E45="validé","",IF('Detail Notes S3'!G45&gt;10,"validé","non validé"))</f>
        <v/>
      </c>
      <c r="G45" s="17" t="str">
        <f aca="false">IF(E45="validé","",IF('Detail Notes S3'!H45&gt;10,"validé","non validé"))</f>
        <v/>
      </c>
      <c r="H45" s="17" t="str">
        <f aca="false">IF(E45="validé","",IF('Detail Notes S3'!I45&gt;10,"validé","non validé"))</f>
        <v/>
      </c>
    </row>
    <row r="46" customFormat="false" ht="12.8" hidden="false" customHeight="false" outlineLevel="0" collapsed="false">
      <c r="A46" s="15" t="str">
        <f aca="false">Liste!A46</f>
        <v>20150969</v>
      </c>
      <c r="B46" s="15" t="str">
        <f aca="false">Liste!B46</f>
        <v>POLAN</v>
      </c>
      <c r="C46" s="15" t="str">
        <f aca="false">Liste!C46</f>
        <v>Geoffrey</v>
      </c>
      <c r="D46" s="17" t="str">
        <f aca="false">Liste!D46</f>
        <v>2-A</v>
      </c>
      <c r="E46" s="17" t="str">
        <f aca="false">IF(AND('Detail Notes S3'!E46&gt;10 , 'Detail Notes S3'!G46 &gt; 8 , 'Detail Notes S3'!H46&gt;8 , 'Detail Notes S3'!I46&gt; 8), "validé", "non validé")</f>
        <v>validé</v>
      </c>
      <c r="F46" s="17" t="str">
        <f aca="false">IF(E46="validé","",IF('Detail Notes S3'!G46&gt;10,"validé","non validé"))</f>
        <v/>
      </c>
      <c r="G46" s="17" t="str">
        <f aca="false">IF(E46="validé","",IF('Detail Notes S3'!H46&gt;10,"validé","non validé"))</f>
        <v/>
      </c>
      <c r="H46" s="17" t="str">
        <f aca="false">IF(E46="validé","",IF('Detail Notes S3'!I46&gt;10,"validé","non validé"))</f>
        <v/>
      </c>
    </row>
    <row r="47" customFormat="false" ht="12.8" hidden="false" customHeight="false" outlineLevel="0" collapsed="false">
      <c r="A47" s="15" t="str">
        <f aca="false">Liste!A47</f>
        <v>20150970</v>
      </c>
      <c r="B47" s="15" t="str">
        <f aca="false">Liste!B47</f>
        <v>POUILLY</v>
      </c>
      <c r="C47" s="15" t="str">
        <f aca="false">Liste!C47</f>
        <v>Gaetan</v>
      </c>
      <c r="D47" s="17" t="str">
        <f aca="false">Liste!D47</f>
        <v>2-B</v>
      </c>
      <c r="E47" s="17" t="str">
        <f aca="false">IF(AND('Detail Notes S3'!E47&gt;10 , 'Detail Notes S3'!G47 &gt; 8 , 'Detail Notes S3'!H47&gt;8 , 'Detail Notes S3'!I47&gt; 8), "validé", "non validé")</f>
        <v>non validé</v>
      </c>
      <c r="F47" s="17" t="str">
        <f aca="false">IF(E47="validé","",IF('Detail Notes S3'!G47&gt;10,"validé","non validé"))</f>
        <v>non validé</v>
      </c>
      <c r="G47" s="17" t="str">
        <f aca="false">IF(E47="validé","",IF('Detail Notes S3'!H47&gt;10,"validé","non validé"))</f>
        <v>validé</v>
      </c>
      <c r="H47" s="17" t="str">
        <f aca="false">IF(E47="validé","",IF('Detail Notes S3'!I47&gt;10,"validé","non validé"))</f>
        <v>validé</v>
      </c>
    </row>
    <row r="48" customFormat="false" ht="12.8" hidden="false" customHeight="false" outlineLevel="0" collapsed="false">
      <c r="A48" s="15" t="str">
        <f aca="false">Liste!A48</f>
        <v>20150971</v>
      </c>
      <c r="B48" s="15" t="str">
        <f aca="false">Liste!B48</f>
        <v>ROLAND</v>
      </c>
      <c r="C48" s="15" t="str">
        <f aca="false">Liste!C48</f>
        <v>Jeremie</v>
      </c>
      <c r="D48" s="17" t="str">
        <f aca="false">Liste!D48</f>
        <v>2-C</v>
      </c>
      <c r="E48" s="17" t="str">
        <f aca="false">IF(AND('Detail Notes S3'!E48&gt;10 , 'Detail Notes S3'!G48 &gt; 8 , 'Detail Notes S3'!H48&gt;8 , 'Detail Notes S3'!I48&gt; 8), "validé", "non validé")</f>
        <v>validé</v>
      </c>
      <c r="F48" s="17" t="str">
        <f aca="false">IF(E48="validé","",IF('Detail Notes S3'!G48&gt;10,"validé","non validé"))</f>
        <v/>
      </c>
      <c r="G48" s="17" t="str">
        <f aca="false">IF(E48="validé","",IF('Detail Notes S3'!H48&gt;10,"validé","non validé"))</f>
        <v/>
      </c>
      <c r="H48" s="17" t="str">
        <f aca="false">IF(E48="validé","",IF('Detail Notes S3'!I48&gt;10,"validé","non validé"))</f>
        <v/>
      </c>
    </row>
    <row r="49" customFormat="false" ht="12.8" hidden="false" customHeight="false" outlineLevel="0" collapsed="false">
      <c r="A49" s="15" t="str">
        <f aca="false">Liste!A49</f>
        <v>20150972</v>
      </c>
      <c r="B49" s="15" t="str">
        <f aca="false">Liste!B49</f>
        <v>ROTTIERS</v>
      </c>
      <c r="C49" s="15" t="str">
        <f aca="false">Liste!C49</f>
        <v>Theo</v>
      </c>
      <c r="D49" s="17" t="str">
        <f aca="false">Liste!D49</f>
        <v>2-B</v>
      </c>
      <c r="E49" s="17" t="str">
        <f aca="false">IF(AND('Detail Notes S3'!E49&gt;10 , 'Detail Notes S3'!G49 &gt; 8 , 'Detail Notes S3'!H49&gt;8 , 'Detail Notes S3'!I49&gt; 8), "validé", "non validé")</f>
        <v>non validé</v>
      </c>
      <c r="F49" s="17" t="str">
        <f aca="false">IF(E49="validé","",IF('Detail Notes S3'!G49&gt;10,"validé","non validé"))</f>
        <v>validé</v>
      </c>
      <c r="G49" s="17" t="str">
        <f aca="false">IF(E49="validé","",IF('Detail Notes S3'!H49&gt;10,"validé","non validé"))</f>
        <v>validé</v>
      </c>
      <c r="H49" s="17" t="str">
        <f aca="false">IF(E49="validé","",IF('Detail Notes S3'!I49&gt;10,"validé","non validé"))</f>
        <v>non validé</v>
      </c>
    </row>
    <row r="50" customFormat="false" ht="12.8" hidden="false" customHeight="false" outlineLevel="0" collapsed="false">
      <c r="A50" s="15" t="str">
        <f aca="false">Liste!A50</f>
        <v>20150973</v>
      </c>
      <c r="B50" s="15" t="str">
        <f aca="false">Liste!B50</f>
        <v>SACRE</v>
      </c>
      <c r="C50" s="15" t="str">
        <f aca="false">Liste!C50</f>
        <v>Pierre</v>
      </c>
      <c r="D50" s="17" t="str">
        <f aca="false">Liste!D50</f>
        <v>2-B</v>
      </c>
      <c r="E50" s="17" t="str">
        <f aca="false">IF(AND('Detail Notes S3'!E50&gt;10 , 'Detail Notes S3'!G50 &gt; 8 , 'Detail Notes S3'!H50&gt;8 , 'Detail Notes S3'!I50&gt; 8), "validé", "non validé")</f>
        <v>validé</v>
      </c>
      <c r="F50" s="17" t="str">
        <f aca="false">IF(E50="validé","",IF('Detail Notes S3'!G50&gt;10,"validé","non validé"))</f>
        <v/>
      </c>
      <c r="G50" s="17" t="str">
        <f aca="false">IF(E50="validé","",IF('Detail Notes S3'!H50&gt;10,"validé","non validé"))</f>
        <v/>
      </c>
      <c r="H50" s="17" t="str">
        <f aca="false">IF(E50="validé","",IF('Detail Notes S3'!I50&gt;10,"validé","non validé"))</f>
        <v/>
      </c>
    </row>
    <row r="51" customFormat="false" ht="12.8" hidden="false" customHeight="false" outlineLevel="0" collapsed="false">
      <c r="A51" s="15" t="str">
        <f aca="false">Liste!A51</f>
        <v>20150974</v>
      </c>
      <c r="B51" s="15" t="str">
        <f aca="false">Liste!B51</f>
        <v>SCHILLER</v>
      </c>
      <c r="C51" s="15" t="str">
        <f aca="false">Liste!C51</f>
        <v>Dylan</v>
      </c>
      <c r="D51" s="17" t="str">
        <f aca="false">Liste!D51</f>
        <v>2-C</v>
      </c>
      <c r="E51" s="17" t="str">
        <f aca="false">IF(AND('Detail Notes S3'!E51&gt;10 , 'Detail Notes S3'!G51 &gt; 8 , 'Detail Notes S3'!H51&gt;8 , 'Detail Notes S3'!I51&gt; 8), "validé", "non validé")</f>
        <v>validé</v>
      </c>
      <c r="F51" s="17" t="str">
        <f aca="false">IF(E51="validé","",IF('Detail Notes S3'!G51&gt;10,"validé","non validé"))</f>
        <v/>
      </c>
      <c r="G51" s="17" t="str">
        <f aca="false">IF(E51="validé","",IF('Detail Notes S3'!H51&gt;10,"validé","non validé"))</f>
        <v/>
      </c>
      <c r="H51" s="17" t="str">
        <f aca="false">IF(E51="validé","",IF('Detail Notes S3'!I51&gt;10,"validé","non validé"))</f>
        <v/>
      </c>
    </row>
    <row r="52" customFormat="false" ht="12.8" hidden="false" customHeight="false" outlineLevel="0" collapsed="false">
      <c r="A52" s="15" t="str">
        <f aca="false">Liste!A52</f>
        <v>20150975</v>
      </c>
      <c r="B52" s="15" t="str">
        <f aca="false">Liste!B52</f>
        <v>SURET</v>
      </c>
      <c r="C52" s="15" t="str">
        <f aca="false">Liste!C52</f>
        <v>Kévin</v>
      </c>
      <c r="D52" s="17" t="str">
        <f aca="false">Liste!D52</f>
        <v>2-A</v>
      </c>
      <c r="E52" s="17" t="str">
        <f aca="false">IF(AND('Detail Notes S3'!E52&gt;10 , 'Detail Notes S3'!G52 &gt; 8 , 'Detail Notes S3'!H52&gt;8 , 'Detail Notes S3'!I52&gt; 8), "validé", "non validé")</f>
        <v>non validé</v>
      </c>
      <c r="F52" s="17" t="str">
        <f aca="false">IF(E52="validé","",IF('Detail Notes S3'!G52&gt;10,"validé","non validé"))</f>
        <v>non validé</v>
      </c>
      <c r="G52" s="17" t="str">
        <f aca="false">IF(E52="validé","",IF('Detail Notes S3'!H52&gt;10,"validé","non validé"))</f>
        <v>non validé</v>
      </c>
      <c r="H52" s="17" t="str">
        <f aca="false">IF(E52="validé","",IF('Detail Notes S3'!I52&gt;10,"validé","non validé"))</f>
        <v>non validé</v>
      </c>
    </row>
    <row r="53" customFormat="false" ht="12.8" hidden="false" customHeight="false" outlineLevel="0" collapsed="false">
      <c r="A53" s="15" t="str">
        <f aca="false">Liste!A53</f>
        <v>20150976</v>
      </c>
      <c r="B53" s="15" t="str">
        <f aca="false">Liste!B53</f>
        <v>SZKARADEK</v>
      </c>
      <c r="C53" s="15" t="str">
        <f aca="false">Liste!C53</f>
        <v>Thibaud</v>
      </c>
      <c r="D53" s="17" t="str">
        <f aca="false">Liste!D53</f>
        <v>2-B</v>
      </c>
      <c r="E53" s="17" t="str">
        <f aca="false">IF(AND('Detail Notes S3'!E53&gt;10 , 'Detail Notes S3'!G53 &gt; 8 , 'Detail Notes S3'!H53&gt;8 , 'Detail Notes S3'!I53&gt; 8), "validé", "non validé")</f>
        <v>validé</v>
      </c>
      <c r="F53" s="17" t="str">
        <f aca="false">IF(E53="validé","",IF('Detail Notes S3'!G53&gt;10,"validé","non validé"))</f>
        <v/>
      </c>
      <c r="G53" s="17" t="str">
        <f aca="false">IF(E53="validé","",IF('Detail Notes S3'!H53&gt;10,"validé","non validé"))</f>
        <v/>
      </c>
      <c r="H53" s="17" t="str">
        <f aca="false">IF(E53="validé","",IF('Detail Notes S3'!I53&gt;10,"validé","non validé"))</f>
        <v/>
      </c>
    </row>
    <row r="54" customFormat="false" ht="12.8" hidden="false" customHeight="false" outlineLevel="0" collapsed="false">
      <c r="A54" s="15" t="str">
        <f aca="false">Liste!A54</f>
        <v>20150977</v>
      </c>
      <c r="B54" s="15" t="str">
        <f aca="false">Liste!B54</f>
        <v>SZYMURA</v>
      </c>
      <c r="C54" s="15" t="str">
        <f aca="false">Liste!C54</f>
        <v>Alexandre</v>
      </c>
      <c r="D54" s="17" t="str">
        <f aca="false">Liste!D54</f>
        <v>2-C</v>
      </c>
      <c r="E54" s="17" t="str">
        <f aca="false">IF(AND('Detail Notes S3'!E54&gt;10 , 'Detail Notes S3'!G54 &gt; 8 , 'Detail Notes S3'!H54&gt;8 , 'Detail Notes S3'!I54&gt; 8), "validé", "non validé")</f>
        <v>validé</v>
      </c>
      <c r="F54" s="17" t="str">
        <f aca="false">IF(E54="validé","",IF('Detail Notes S3'!G54&gt;10,"validé","non validé"))</f>
        <v/>
      </c>
      <c r="G54" s="17" t="str">
        <f aca="false">IF(E54="validé","",IF('Detail Notes S3'!H54&gt;10,"validé","non validé"))</f>
        <v/>
      </c>
      <c r="H54" s="17" t="str">
        <f aca="false">IF(E54="validé","",IF('Detail Notes S3'!I54&gt;10,"validé","non validé"))</f>
        <v/>
      </c>
    </row>
    <row r="55" customFormat="false" ht="12.8" hidden="false" customHeight="false" outlineLevel="0" collapsed="false">
      <c r="A55" s="15" t="str">
        <f aca="false">Liste!A55</f>
        <v>20150978</v>
      </c>
      <c r="B55" s="15" t="str">
        <f aca="false">Liste!B55</f>
        <v>TANG</v>
      </c>
      <c r="C55" s="15" t="str">
        <f aca="false">Liste!C55</f>
        <v>Frédéric</v>
      </c>
      <c r="D55" s="17" t="str">
        <f aca="false">Liste!D55</f>
        <v>2-C</v>
      </c>
      <c r="E55" s="17" t="str">
        <f aca="false">IF(AND('Detail Notes S3'!E55&gt;10 , 'Detail Notes S3'!G55 &gt; 8 , 'Detail Notes S3'!H55&gt;8 , 'Detail Notes S3'!I55&gt; 8), "validé", "non validé")</f>
        <v>validé</v>
      </c>
      <c r="F55" s="17" t="str">
        <f aca="false">IF(E55="validé","",IF('Detail Notes S3'!G55&gt;10,"validé","non validé"))</f>
        <v/>
      </c>
      <c r="G55" s="17" t="str">
        <f aca="false">IF(E55="validé","",IF('Detail Notes S3'!H55&gt;10,"validé","non validé"))</f>
        <v/>
      </c>
      <c r="H55" s="17" t="str">
        <f aca="false">IF(E55="validé","",IF('Detail Notes S3'!I55&gt;10,"validé","non validé"))</f>
        <v/>
      </c>
    </row>
    <row r="56" customFormat="false" ht="12.8" hidden="false" customHeight="false" outlineLevel="0" collapsed="false">
      <c r="A56" s="15" t="str">
        <f aca="false">Liste!A56</f>
        <v>20150979</v>
      </c>
      <c r="B56" s="15" t="str">
        <f aca="false">Liste!B56</f>
        <v>TASSART</v>
      </c>
      <c r="C56" s="15" t="str">
        <f aca="false">Liste!C56</f>
        <v>Alexandre</v>
      </c>
      <c r="D56" s="17" t="str">
        <f aca="false">Liste!D56</f>
        <v>2-B</v>
      </c>
      <c r="E56" s="17" t="str">
        <f aca="false">IF(AND('Detail Notes S3'!E56&gt;10 , 'Detail Notes S3'!G56 &gt; 8 , 'Detail Notes S3'!H56&gt;8 , 'Detail Notes S3'!I56&gt; 8), "validé", "non validé")</f>
        <v>validé</v>
      </c>
      <c r="F56" s="17" t="str">
        <f aca="false">IF(E56="validé","",IF('Detail Notes S3'!G56&gt;10,"validé","non validé"))</f>
        <v/>
      </c>
      <c r="G56" s="17" t="str">
        <f aca="false">IF(E56="validé","",IF('Detail Notes S3'!H56&gt;10,"validé","non validé"))</f>
        <v/>
      </c>
      <c r="H56" s="17" t="str">
        <f aca="false">IF(E56="validé","",IF('Detail Notes S3'!I56&gt;10,"validé","non validé"))</f>
        <v/>
      </c>
    </row>
    <row r="57" customFormat="false" ht="12.8" hidden="false" customHeight="false" outlineLevel="0" collapsed="false">
      <c r="A57" s="15" t="str">
        <f aca="false">Liste!A57</f>
        <v>20150980</v>
      </c>
      <c r="B57" s="15" t="str">
        <f aca="false">Liste!B57</f>
        <v>THERAGE</v>
      </c>
      <c r="C57" s="15" t="str">
        <f aca="false">Liste!C57</f>
        <v>Lucas</v>
      </c>
      <c r="D57" s="17" t="str">
        <f aca="false">Liste!D57</f>
        <v>2-A</v>
      </c>
      <c r="E57" s="17" t="str">
        <f aca="false">IF(AND('Detail Notes S3'!E57&gt;10 , 'Detail Notes S3'!G57 &gt; 8 , 'Detail Notes S3'!H57&gt;8 , 'Detail Notes S3'!I57&gt; 8), "validé", "non validé")</f>
        <v>validé</v>
      </c>
      <c r="F57" s="17" t="str">
        <f aca="false">IF(E57="validé","",IF('Detail Notes S3'!G57&gt;10,"validé","non validé"))</f>
        <v/>
      </c>
      <c r="G57" s="17" t="str">
        <f aca="false">IF(E57="validé","",IF('Detail Notes S3'!H57&gt;10,"validé","non validé"))</f>
        <v/>
      </c>
      <c r="H57" s="17" t="str">
        <f aca="false">IF(E57="validé","",IF('Detail Notes S3'!I57&gt;10,"validé","non validé"))</f>
        <v/>
      </c>
    </row>
    <row r="58" customFormat="false" ht="12.8" hidden="false" customHeight="false" outlineLevel="0" collapsed="false">
      <c r="A58" s="15" t="str">
        <f aca="false">Liste!A58</f>
        <v>20150981</v>
      </c>
      <c r="B58" s="15" t="str">
        <f aca="false">Liste!B58</f>
        <v>THOMAS</v>
      </c>
      <c r="C58" s="15" t="str">
        <f aca="false">Liste!C58</f>
        <v>Louis</v>
      </c>
      <c r="D58" s="17" t="str">
        <f aca="false">Liste!D58</f>
        <v>2-B</v>
      </c>
      <c r="E58" s="17" t="str">
        <f aca="false">IF(AND('Detail Notes S3'!E58&gt;10 , 'Detail Notes S3'!G58 &gt; 8 , 'Detail Notes S3'!H58&gt;8 , 'Detail Notes S3'!I58&gt; 8), "validé", "non validé")</f>
        <v>validé</v>
      </c>
      <c r="F58" s="17" t="str">
        <f aca="false">IF(E58="validé","",IF('Detail Notes S3'!G58&gt;10,"validé","non validé"))</f>
        <v/>
      </c>
      <c r="G58" s="17" t="str">
        <f aca="false">IF(E58="validé","",IF('Detail Notes S3'!H58&gt;10,"validé","non validé"))</f>
        <v/>
      </c>
      <c r="H58" s="17" t="str">
        <f aca="false">IF(E58="validé","",IF('Detail Notes S3'!I58&gt;10,"validé","non validé"))</f>
        <v/>
      </c>
    </row>
    <row r="59" customFormat="false" ht="12.8" hidden="false" customHeight="false" outlineLevel="0" collapsed="false">
      <c r="A59" s="15" t="str">
        <f aca="false">Liste!A59</f>
        <v>20150982</v>
      </c>
      <c r="B59" s="15" t="str">
        <f aca="false">Liste!B59</f>
        <v>VANDEWOORDE</v>
      </c>
      <c r="C59" s="15" t="str">
        <f aca="false">Liste!C59</f>
        <v>Aymeric</v>
      </c>
      <c r="D59" s="17" t="str">
        <f aca="false">Liste!D59</f>
        <v>2-B</v>
      </c>
      <c r="E59" s="17" t="str">
        <f aca="false">IF(AND('Detail Notes S3'!E59&gt;10 , 'Detail Notes S3'!G59 &gt; 8 , 'Detail Notes S3'!H59&gt;8 , 'Detail Notes S3'!I59&gt; 8), "validé", "non validé")</f>
        <v>validé</v>
      </c>
      <c r="F59" s="17" t="str">
        <f aca="false">IF(E59="validé","",IF('Detail Notes S3'!G59&gt;10,"validé","non validé"))</f>
        <v/>
      </c>
      <c r="G59" s="17" t="str">
        <f aca="false">IF(E59="validé","",IF('Detail Notes S3'!H59&gt;10,"validé","non validé"))</f>
        <v/>
      </c>
      <c r="H59" s="17" t="str">
        <f aca="false">IF(E59="validé","",IF('Detail Notes S3'!I59&gt;10,"validé","non validé"))</f>
        <v/>
      </c>
    </row>
    <row r="60" customFormat="false" ht="12.8" hidden="false" customHeight="false" outlineLevel="0" collapsed="false">
      <c r="A60" s="15" t="str">
        <f aca="false">Liste!A60</f>
        <v>20150983</v>
      </c>
      <c r="B60" s="15" t="str">
        <f aca="false">Liste!B60</f>
        <v>VANROY</v>
      </c>
      <c r="C60" s="15" t="str">
        <f aca="false">Liste!C60</f>
        <v>Julien</v>
      </c>
      <c r="D60" s="17" t="str">
        <f aca="false">Liste!D60</f>
        <v>2-A</v>
      </c>
      <c r="E60" s="17" t="str">
        <f aca="false">IF(AND('Detail Notes S3'!E60&gt;10 , 'Detail Notes S3'!G60 &gt; 8 , 'Detail Notes S3'!H60&gt;8 , 'Detail Notes S3'!I60&gt; 8), "validé", "non validé")</f>
        <v>non validé</v>
      </c>
      <c r="F60" s="17" t="str">
        <f aca="false">IF(E60="validé","",IF('Detail Notes S3'!G60&gt;10,"validé","non validé"))</f>
        <v>validé</v>
      </c>
      <c r="G60" s="17" t="str">
        <f aca="false">IF(E60="validé","",IF('Detail Notes S3'!H60&gt;10,"validé","non validé"))</f>
        <v>validé</v>
      </c>
      <c r="H60" s="17" t="str">
        <f aca="false">IF(E60="validé","",IF('Detail Notes S3'!I60&gt;10,"validé","non validé"))</f>
        <v>non validé</v>
      </c>
    </row>
    <row r="61" customFormat="false" ht="12.8" hidden="false" customHeight="false" outlineLevel="0" collapsed="false">
      <c r="A61" s="15" t="str">
        <f aca="false">Liste!A61</f>
        <v>20150984</v>
      </c>
      <c r="B61" s="15" t="str">
        <f aca="false">Liste!B61</f>
        <v>VELLA</v>
      </c>
      <c r="C61" s="15" t="str">
        <f aca="false">Liste!C61</f>
        <v>Emanuele</v>
      </c>
      <c r="D61" s="17" t="str">
        <f aca="false">Liste!D61</f>
        <v>2-C</v>
      </c>
      <c r="E61" s="17" t="str">
        <f aca="false">IF(AND('Detail Notes S3'!E61&gt;10 , 'Detail Notes S3'!G61 &gt; 8 , 'Detail Notes S3'!H61&gt;8 , 'Detail Notes S3'!I61&gt; 8), "validé", "non validé")</f>
        <v>validé</v>
      </c>
      <c r="F61" s="17" t="str">
        <f aca="false">IF(E61="validé","",IF('Detail Notes S3'!G61&gt;10,"validé","non validé"))</f>
        <v/>
      </c>
      <c r="G61" s="17" t="str">
        <f aca="false">IF(E61="validé","",IF('Detail Notes S3'!H61&gt;10,"validé","non validé"))</f>
        <v/>
      </c>
      <c r="H61" s="17" t="str">
        <f aca="false">IF(E61="validé","",IF('Detail Notes S3'!I61&gt;10,"validé","non validé"))</f>
        <v/>
      </c>
    </row>
    <row r="62" customFormat="false" ht="12.8" hidden="false" customHeight="false" outlineLevel="0" collapsed="false">
      <c r="A62" s="15" t="str">
        <f aca="false">Liste!A62</f>
        <v>20150985</v>
      </c>
      <c r="B62" s="15" t="str">
        <f aca="false">Liste!B62</f>
        <v>VERPOEST</v>
      </c>
      <c r="C62" s="15" t="str">
        <f aca="false">Liste!C62</f>
        <v>Sylvain</v>
      </c>
      <c r="D62" s="17" t="str">
        <f aca="false">Liste!D62</f>
        <v>2-A</v>
      </c>
      <c r="E62" s="17" t="str">
        <f aca="false">IF(AND('Detail Notes S3'!E62&gt;10 , 'Detail Notes S3'!G62 &gt; 8 , 'Detail Notes S3'!H62&gt;8 , 'Detail Notes S3'!I62&gt; 8), "validé", "non validé")</f>
        <v>validé</v>
      </c>
      <c r="F62" s="17" t="str">
        <f aca="false">IF(E62="validé","",IF('Detail Notes S3'!G62&gt;10,"validé","non validé"))</f>
        <v/>
      </c>
      <c r="G62" s="17" t="str">
        <f aca="false">IF(E62="validé","",IF('Detail Notes S3'!H62&gt;10,"validé","non validé"))</f>
        <v/>
      </c>
      <c r="H62" s="17" t="str">
        <f aca="false">IF(E62="validé","",IF('Detail Notes S3'!I62&gt;10,"validé","non validé"))</f>
        <v/>
      </c>
    </row>
    <row r="63" customFormat="false" ht="12.8" hidden="false" customHeight="false" outlineLevel="0" collapsed="false">
      <c r="A63" s="15" t="str">
        <f aca="false">Liste!A63</f>
        <v>20150986</v>
      </c>
      <c r="B63" s="15" t="str">
        <f aca="false">Liste!B63</f>
        <v>WICART</v>
      </c>
      <c r="C63" s="15" t="str">
        <f aca="false">Liste!C63</f>
        <v>Melvin</v>
      </c>
      <c r="D63" s="17" t="str">
        <f aca="false">Liste!D63</f>
        <v>2-B</v>
      </c>
      <c r="E63" s="17" t="str">
        <f aca="false">IF(AND('Detail Notes S3'!E63&gt;10 , 'Detail Notes S3'!G63 &gt; 8 , 'Detail Notes S3'!H63&gt;8 , 'Detail Notes S3'!I63&gt; 8), "validé", "non validé")</f>
        <v>validé</v>
      </c>
      <c r="F63" s="17" t="str">
        <f aca="false">IF(E63="validé","",IF('Detail Notes S3'!G63&gt;10,"validé","non validé"))</f>
        <v/>
      </c>
      <c r="G63" s="17" t="str">
        <f aca="false">IF(E63="validé","",IF('Detail Notes S3'!H63&gt;10,"validé","non validé"))</f>
        <v/>
      </c>
      <c r="H63" s="17" t="str">
        <f aca="false">IF(E63="validé","",IF('Detail Notes S3'!I63&gt;10,"validé","non validé"))</f>
        <v/>
      </c>
    </row>
    <row r="64" customFormat="false" ht="12.8" hidden="false" customHeight="false" outlineLevel="0" collapsed="false">
      <c r="D64" s="1"/>
    </row>
    <row r="67" customFormat="false" ht="12.8" hidden="false" customHeight="false" outlineLevel="0" collapsed="false">
      <c r="A67" s="15" t="s">
        <v>275</v>
      </c>
      <c r="B67" s="40" t="s">
        <v>276</v>
      </c>
    </row>
    <row r="68" customFormat="false" ht="12.8" hidden="false" customHeight="false" outlineLevel="0" collapsed="false">
      <c r="A68" s="15" t="s">
        <v>277</v>
      </c>
      <c r="B68" s="40" t="s">
        <v>278</v>
      </c>
    </row>
    <row r="69" customFormat="false" ht="12.8" hidden="false" customHeight="false" outlineLevel="0" collapsed="false">
      <c r="A69" s="15" t="s">
        <v>279</v>
      </c>
      <c r="B69" s="44" t="n">
        <v>42614</v>
      </c>
    </row>
    <row r="70" customFormat="false" ht="12.8" hidden="false" customHeight="false" outlineLevel="0" collapsed="false">
      <c r="A70" s="15" t="s">
        <v>280</v>
      </c>
      <c r="B70" s="40" t="s">
        <v>281</v>
      </c>
    </row>
    <row r="71" customFormat="false" ht="12.8" hidden="false" customHeight="false" outlineLevel="0" collapsed="false">
      <c r="A71" s="15" t="s">
        <v>222</v>
      </c>
      <c r="B71" s="40" t="s">
        <v>227</v>
      </c>
    </row>
  </sheetData>
  <mergeCells count="1">
    <mergeCell ref="E1:H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landscape" usePrinterDefaults="false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N12" activeCellId="0" sqref="N12"/>
    </sheetView>
  </sheetViews>
  <sheetFormatPr defaultRowHeight="12.8"/>
  <cols>
    <col collapsed="false" hidden="false" max="1" min="1" style="0" width="11.5204081632653"/>
    <col collapsed="false" hidden="false" max="2" min="2" style="0" width="20.7551020408163"/>
    <col collapsed="false" hidden="false" max="4" min="3" style="0" width="11.5204081632653"/>
    <col collapsed="false" hidden="false" max="5" min="5" style="1" width="11.5204081632653"/>
    <col collapsed="false" hidden="false" max="1025" min="6" style="0" width="11.5204081632653"/>
  </cols>
  <sheetData>
    <row r="1" customFormat="false" ht="13.8" hidden="false" customHeight="false" outlineLevel="0" collapsed="false">
      <c r="A1" s="2" t="str">
        <f aca="false">Décisions!A1</f>
        <v>Numéro</v>
      </c>
      <c r="B1" s="22" t="str">
        <f aca="false">Décisions!B1</f>
        <v>Nom</v>
      </c>
      <c r="C1" s="22" t="str">
        <f aca="false">Décisions!C1</f>
        <v>Prénom</v>
      </c>
      <c r="D1" s="2" t="str">
        <f aca="false">Décisions!D1</f>
        <v>Groupe</v>
      </c>
      <c r="E1" s="2" t="s">
        <v>310</v>
      </c>
      <c r="F1" s="42" t="s">
        <v>226</v>
      </c>
      <c r="G1" s="42"/>
      <c r="H1" s="42" t="s">
        <v>246</v>
      </c>
      <c r="I1" s="42"/>
      <c r="J1" s="42" t="s">
        <v>265</v>
      </c>
      <c r="K1" s="42"/>
    </row>
    <row r="2" customFormat="false" ht="15" hidden="false" customHeight="false" outlineLevel="0" collapsed="false">
      <c r="A2" s="1"/>
      <c r="B2" s="28"/>
      <c r="C2" s="28"/>
      <c r="D2" s="45" t="s">
        <v>311</v>
      </c>
      <c r="E2" s="45" t="n">
        <v>0.11</v>
      </c>
      <c r="F2" s="1" t="s">
        <v>312</v>
      </c>
      <c r="G2" s="1" t="s">
        <v>313</v>
      </c>
      <c r="H2" s="1" t="s">
        <v>312</v>
      </c>
      <c r="I2" s="1" t="s">
        <v>313</v>
      </c>
      <c r="J2" s="1" t="s">
        <v>312</v>
      </c>
      <c r="K2" s="1" t="s">
        <v>313</v>
      </c>
    </row>
    <row r="3" customFormat="false" ht="12.8" hidden="false" customHeight="false" outlineLevel="0" collapsed="false">
      <c r="A3" s="17" t="str">
        <f aca="false">Décisions!A3</f>
        <v>20150926</v>
      </c>
      <c r="B3" s="33" t="str">
        <f aca="false">Décisions!B3</f>
        <v>BAUDELET</v>
      </c>
      <c r="C3" s="33" t="str">
        <f aca="false">Décisions!C3</f>
        <v>Geoffrey</v>
      </c>
      <c r="D3" s="17" t="str">
        <f aca="false">Décisions!D3</f>
        <v>2-B</v>
      </c>
      <c r="E3" s="17" t="str">
        <f aca="false">IF(OR(G3&gt;$E$2,I3&gt;$E$2,K3&gt;$E$2),"ABI", "")</f>
        <v/>
      </c>
      <c r="F3" s="46" t="n">
        <f aca="false">RANDBETWEEN(0,120)/1000</f>
        <v>0.009</v>
      </c>
      <c r="G3" s="46" t="n">
        <f aca="false">RANDBETWEEN(0,120)/1000</f>
        <v>0.065</v>
      </c>
      <c r="H3" s="46" t="n">
        <f aca="false">RANDBETWEEN(0,120)/1000</f>
        <v>0.013</v>
      </c>
      <c r="I3" s="46" t="n">
        <f aca="false">RANDBETWEEN(0,120)/1000</f>
        <v>0.108</v>
      </c>
      <c r="J3" s="46" t="n">
        <f aca="false">RANDBETWEEN(0,120)/1000</f>
        <v>0.022</v>
      </c>
      <c r="K3" s="46" t="n">
        <f aca="false">RANDBETWEEN(0,120)/1000</f>
        <v>0.094</v>
      </c>
    </row>
    <row r="4" customFormat="false" ht="12.8" hidden="false" customHeight="false" outlineLevel="0" collapsed="false">
      <c r="A4" s="17" t="str">
        <f aca="false">Décisions!A4</f>
        <v>20150927</v>
      </c>
      <c r="B4" s="33" t="str">
        <f aca="false">Décisions!B4</f>
        <v>BIGARD</v>
      </c>
      <c r="C4" s="33" t="str">
        <f aca="false">Décisions!C4</f>
        <v>Samuel</v>
      </c>
      <c r="D4" s="17" t="str">
        <f aca="false">Décisions!D4</f>
        <v>2-C</v>
      </c>
      <c r="E4" s="17" t="str">
        <f aca="false">IF(OR(G4&gt;$E$2,I4&gt;$E$2,K4&gt;$E$2),"ABI", "")</f>
        <v/>
      </c>
      <c r="F4" s="46" t="n">
        <f aca="false">RANDBETWEEN(0,120)/1000</f>
        <v>0.099</v>
      </c>
      <c r="G4" s="46" t="n">
        <f aca="false">RANDBETWEEN(0,120)/1000</f>
        <v>0.087</v>
      </c>
      <c r="H4" s="46" t="n">
        <f aca="false">RANDBETWEEN(0,120)/1000</f>
        <v>0.028</v>
      </c>
      <c r="I4" s="46" t="n">
        <f aca="false">RANDBETWEEN(0,120)/1000</f>
        <v>0.074</v>
      </c>
      <c r="J4" s="46" t="n">
        <f aca="false">RANDBETWEEN(0,120)/1000</f>
        <v>0.051</v>
      </c>
      <c r="K4" s="46" t="n">
        <f aca="false">RANDBETWEEN(0,120)/1000</f>
        <v>0.031</v>
      </c>
    </row>
    <row r="5" customFormat="false" ht="12.8" hidden="false" customHeight="false" outlineLevel="0" collapsed="false">
      <c r="A5" s="17" t="str">
        <f aca="false">Décisions!A5</f>
        <v>20150928</v>
      </c>
      <c r="B5" s="33" t="str">
        <f aca="false">Décisions!B5</f>
        <v>BISSON</v>
      </c>
      <c r="C5" s="33" t="str">
        <f aca="false">Décisions!C5</f>
        <v>Julien</v>
      </c>
      <c r="D5" s="17" t="str">
        <f aca="false">Décisions!D5</f>
        <v>2-A</v>
      </c>
      <c r="E5" s="17" t="str">
        <f aca="false">IF(OR(G5&gt;$E$2,I5&gt;$E$2,K5&gt;$E$2),"ABI", "")</f>
        <v>ABI</v>
      </c>
      <c r="F5" s="46" t="n">
        <f aca="false">RANDBETWEEN(0,120)/1000</f>
        <v>0.064</v>
      </c>
      <c r="G5" s="46" t="n">
        <f aca="false">RANDBETWEEN(0,120)/1000</f>
        <v>0.113</v>
      </c>
      <c r="H5" s="46" t="n">
        <f aca="false">RANDBETWEEN(0,120)/1000</f>
        <v>0.077</v>
      </c>
      <c r="I5" s="46" t="n">
        <f aca="false">RANDBETWEEN(0,120)/1000</f>
        <v>0.024</v>
      </c>
      <c r="J5" s="46" t="n">
        <f aca="false">RANDBETWEEN(0,120)/1000</f>
        <v>0.009</v>
      </c>
      <c r="K5" s="46" t="n">
        <f aca="false">RANDBETWEEN(0,120)/1000</f>
        <v>0.054</v>
      </c>
    </row>
    <row r="6" customFormat="false" ht="12.8" hidden="false" customHeight="false" outlineLevel="0" collapsed="false">
      <c r="A6" s="17" t="str">
        <f aca="false">Décisions!A6</f>
        <v>20150929</v>
      </c>
      <c r="B6" s="33" t="str">
        <f aca="false">Décisions!B6</f>
        <v>BONTE</v>
      </c>
      <c r="C6" s="33" t="str">
        <f aca="false">Décisions!C6</f>
        <v>Nicolas</v>
      </c>
      <c r="D6" s="17" t="str">
        <f aca="false">Décisions!D6</f>
        <v>2-A</v>
      </c>
      <c r="E6" s="17" t="str">
        <f aca="false">IF(OR(G6&gt;$E$2,I6&gt;$E$2,K6&gt;$E$2),"ABI", "")</f>
        <v/>
      </c>
      <c r="F6" s="46" t="n">
        <f aca="false">RANDBETWEEN(0,120)/1000</f>
        <v>0.063</v>
      </c>
      <c r="G6" s="46" t="n">
        <f aca="false">RANDBETWEEN(0,120)/1000</f>
        <v>0.052</v>
      </c>
      <c r="H6" s="46" t="n">
        <f aca="false">RANDBETWEEN(0,120)/1000</f>
        <v>0.044</v>
      </c>
      <c r="I6" s="46" t="n">
        <f aca="false">RANDBETWEEN(0,120)/1000</f>
        <v>0.015</v>
      </c>
      <c r="J6" s="46" t="n">
        <f aca="false">RANDBETWEEN(0,120)/1000</f>
        <v>0.033</v>
      </c>
      <c r="K6" s="46" t="n">
        <f aca="false">RANDBETWEEN(0,120)/1000</f>
        <v>0.02</v>
      </c>
    </row>
    <row r="7" customFormat="false" ht="12.8" hidden="false" customHeight="false" outlineLevel="0" collapsed="false">
      <c r="A7" s="17" t="str">
        <f aca="false">Décisions!A7</f>
        <v>20150930</v>
      </c>
      <c r="B7" s="33" t="str">
        <f aca="false">Décisions!B7</f>
        <v>BOULNOIS</v>
      </c>
      <c r="C7" s="33" t="str">
        <f aca="false">Décisions!C7</f>
        <v>Louis</v>
      </c>
      <c r="D7" s="17" t="str">
        <f aca="false">Décisions!D7</f>
        <v>2-A</v>
      </c>
      <c r="E7" s="17" t="str">
        <f aca="false">IF(OR(G7&gt;$E$2,I7&gt;$E$2,K7&gt;$E$2),"ABI", "")</f>
        <v/>
      </c>
      <c r="F7" s="46" t="n">
        <f aca="false">RANDBETWEEN(0,120)/1000</f>
        <v>0.066</v>
      </c>
      <c r="G7" s="46" t="n">
        <f aca="false">RANDBETWEEN(0,120)/1000</f>
        <v>0.002</v>
      </c>
      <c r="H7" s="46" t="n">
        <f aca="false">RANDBETWEEN(0,120)/1000</f>
        <v>0.034</v>
      </c>
      <c r="I7" s="46" t="n">
        <f aca="false">RANDBETWEEN(0,120)/1000</f>
        <v>0.078</v>
      </c>
      <c r="J7" s="46" t="n">
        <f aca="false">RANDBETWEEN(0,120)/1000</f>
        <v>0.037</v>
      </c>
      <c r="K7" s="46" t="n">
        <f aca="false">RANDBETWEEN(0,120)/1000</f>
        <v>0.046</v>
      </c>
    </row>
    <row r="8" customFormat="false" ht="12.8" hidden="false" customHeight="false" outlineLevel="0" collapsed="false">
      <c r="A8" s="17" t="str">
        <f aca="false">Décisions!A8</f>
        <v>20150931</v>
      </c>
      <c r="B8" s="33" t="str">
        <f aca="false">Décisions!B8</f>
        <v>CHATELET</v>
      </c>
      <c r="C8" s="33" t="str">
        <f aca="false">Décisions!C8</f>
        <v>Hadrien</v>
      </c>
      <c r="D8" s="17" t="str">
        <f aca="false">Décisions!D8</f>
        <v>2-B</v>
      </c>
      <c r="E8" s="17" t="str">
        <f aca="false">IF(OR(G8&gt;$E$2,I8&gt;$E$2,K8&gt;$E$2),"ABI", "")</f>
        <v/>
      </c>
      <c r="F8" s="46" t="n">
        <f aca="false">RANDBETWEEN(0,120)/1000</f>
        <v>0.049</v>
      </c>
      <c r="G8" s="46" t="n">
        <f aca="false">RANDBETWEEN(0,120)/1000</f>
        <v>0.105</v>
      </c>
      <c r="H8" s="46" t="n">
        <f aca="false">RANDBETWEEN(0,120)/1000</f>
        <v>0.014</v>
      </c>
      <c r="I8" s="46" t="n">
        <f aca="false">RANDBETWEEN(0,120)/1000</f>
        <v>0</v>
      </c>
      <c r="J8" s="46" t="n">
        <f aca="false">RANDBETWEEN(0,120)/1000</f>
        <v>0.092</v>
      </c>
      <c r="K8" s="46" t="n">
        <f aca="false">RANDBETWEEN(0,120)/1000</f>
        <v>0.001</v>
      </c>
    </row>
    <row r="9" customFormat="false" ht="12.8" hidden="false" customHeight="false" outlineLevel="0" collapsed="false">
      <c r="A9" s="17" t="str">
        <f aca="false">Décisions!A9</f>
        <v>20150932</v>
      </c>
      <c r="B9" s="33" t="str">
        <f aca="false">Décisions!B9</f>
        <v>CLEROT</v>
      </c>
      <c r="C9" s="33" t="str">
        <f aca="false">Décisions!C9</f>
        <v>Jérémy</v>
      </c>
      <c r="D9" s="17" t="str">
        <f aca="false">Décisions!D9</f>
        <v>2-C</v>
      </c>
      <c r="E9" s="17" t="str">
        <f aca="false">IF(OR(G9&gt;$E$2,I9&gt;$E$2,K9&gt;$E$2),"ABI", "")</f>
        <v/>
      </c>
      <c r="F9" s="46" t="n">
        <f aca="false">RANDBETWEEN(0,120)/1000</f>
        <v>0.1</v>
      </c>
      <c r="G9" s="46" t="n">
        <f aca="false">RANDBETWEEN(0,120)/1000</f>
        <v>0</v>
      </c>
      <c r="H9" s="46" t="n">
        <f aca="false">RANDBETWEEN(0,120)/1000</f>
        <v>0.014</v>
      </c>
      <c r="I9" s="46" t="n">
        <f aca="false">RANDBETWEEN(0,120)/1000</f>
        <v>0.07</v>
      </c>
      <c r="J9" s="46" t="n">
        <f aca="false">RANDBETWEEN(0,120)/1000</f>
        <v>0.043</v>
      </c>
      <c r="K9" s="46" t="n">
        <f aca="false">RANDBETWEEN(0,120)/1000</f>
        <v>0.04</v>
      </c>
    </row>
    <row r="10" customFormat="false" ht="12.8" hidden="false" customHeight="false" outlineLevel="0" collapsed="false">
      <c r="A10" s="17" t="str">
        <f aca="false">Décisions!A10</f>
        <v>20150933</v>
      </c>
      <c r="B10" s="33" t="str">
        <f aca="false">Décisions!B10</f>
        <v>CORNU</v>
      </c>
      <c r="C10" s="33" t="str">
        <f aca="false">Décisions!C10</f>
        <v>Bastien</v>
      </c>
      <c r="D10" s="17" t="str">
        <f aca="false">Décisions!D10</f>
        <v>2-C</v>
      </c>
      <c r="E10" s="17" t="str">
        <f aca="false">IF(OR(G10&gt;$E$2,I10&gt;$E$2,K10&gt;$E$2),"ABI", "")</f>
        <v/>
      </c>
      <c r="F10" s="46" t="n">
        <f aca="false">RANDBETWEEN(0,120)/1000</f>
        <v>0.021</v>
      </c>
      <c r="G10" s="46" t="n">
        <f aca="false">RANDBETWEEN(0,120)/1000</f>
        <v>0.036</v>
      </c>
      <c r="H10" s="46" t="n">
        <f aca="false">RANDBETWEEN(0,120)/1000</f>
        <v>0.037</v>
      </c>
      <c r="I10" s="46" t="n">
        <f aca="false">RANDBETWEEN(0,120)/1000</f>
        <v>0.014</v>
      </c>
      <c r="J10" s="46" t="n">
        <f aca="false">RANDBETWEEN(0,120)/1000</f>
        <v>0.107</v>
      </c>
      <c r="K10" s="46" t="n">
        <f aca="false">RANDBETWEEN(0,120)/1000</f>
        <v>0.039</v>
      </c>
    </row>
    <row r="11" customFormat="false" ht="12.8" hidden="false" customHeight="false" outlineLevel="0" collapsed="false">
      <c r="A11" s="17" t="str">
        <f aca="false">Décisions!A11</f>
        <v>20150934</v>
      </c>
      <c r="B11" s="33" t="str">
        <f aca="false">Décisions!B11</f>
        <v>DACHY</v>
      </c>
      <c r="C11" s="33" t="str">
        <f aca="false">Décisions!C11</f>
        <v>Remy</v>
      </c>
      <c r="D11" s="17" t="str">
        <f aca="false">Décisions!D11</f>
        <v>2-B</v>
      </c>
      <c r="E11" s="17" t="str">
        <f aca="false">IF(OR(G11&gt;$E$2,I11&gt;$E$2,K11&gt;$E$2),"ABI", "")</f>
        <v>ABI</v>
      </c>
      <c r="F11" s="46" t="n">
        <f aca="false">RANDBETWEEN(0,120)/1000</f>
        <v>0.113</v>
      </c>
      <c r="G11" s="46" t="n">
        <f aca="false">RANDBETWEEN(0,120)/1000</f>
        <v>0.116</v>
      </c>
      <c r="H11" s="46" t="n">
        <f aca="false">RANDBETWEEN(0,120)/1000</f>
        <v>0.055</v>
      </c>
      <c r="I11" s="46" t="n">
        <f aca="false">RANDBETWEEN(0,120)/1000</f>
        <v>0.063</v>
      </c>
      <c r="J11" s="46" t="n">
        <f aca="false">RANDBETWEEN(0,120)/1000</f>
        <v>0.095</v>
      </c>
      <c r="K11" s="46" t="n">
        <f aca="false">RANDBETWEEN(0,120)/1000</f>
        <v>0.088</v>
      </c>
    </row>
    <row r="12" customFormat="false" ht="12.8" hidden="false" customHeight="false" outlineLevel="0" collapsed="false">
      <c r="A12" s="17" t="str">
        <f aca="false">Décisions!A12</f>
        <v>20150935</v>
      </c>
      <c r="B12" s="33" t="str">
        <f aca="false">Décisions!B12</f>
        <v>DANGLETERRE</v>
      </c>
      <c r="C12" s="33" t="str">
        <f aca="false">Décisions!C12</f>
        <v>Thomas</v>
      </c>
      <c r="D12" s="17" t="str">
        <f aca="false">Décisions!D12</f>
        <v>2-C</v>
      </c>
      <c r="E12" s="17" t="str">
        <f aca="false">IF(OR(G12&gt;$E$2,I12&gt;$E$2,K12&gt;$E$2),"ABI", "")</f>
        <v/>
      </c>
      <c r="F12" s="46" t="n">
        <f aca="false">RANDBETWEEN(0,120)/1000</f>
        <v>0.113</v>
      </c>
      <c r="G12" s="46" t="n">
        <f aca="false">RANDBETWEEN(0,120)/1000</f>
        <v>0.002</v>
      </c>
      <c r="H12" s="46" t="n">
        <f aca="false">RANDBETWEEN(0,120)/1000</f>
        <v>0.038</v>
      </c>
      <c r="I12" s="46" t="n">
        <f aca="false">RANDBETWEEN(0,120)/1000</f>
        <v>0.016</v>
      </c>
      <c r="J12" s="46" t="n">
        <f aca="false">RANDBETWEEN(0,120)/1000</f>
        <v>0.075</v>
      </c>
      <c r="K12" s="46" t="n">
        <f aca="false">RANDBETWEEN(0,120)/1000</f>
        <v>0.032</v>
      </c>
    </row>
    <row r="13" customFormat="false" ht="12.8" hidden="false" customHeight="false" outlineLevel="0" collapsed="false">
      <c r="A13" s="17" t="str">
        <f aca="false">Décisions!A13</f>
        <v>20150936</v>
      </c>
      <c r="B13" s="33" t="str">
        <f aca="false">Décisions!B13</f>
        <v>DEBACKER</v>
      </c>
      <c r="C13" s="33" t="str">
        <f aca="false">Décisions!C13</f>
        <v>Thomas</v>
      </c>
      <c r="D13" s="17" t="str">
        <f aca="false">Décisions!D13</f>
        <v>2-C</v>
      </c>
      <c r="E13" s="17" t="str">
        <f aca="false">IF(OR(G13&gt;$E$2,I13&gt;$E$2,K13&gt;$E$2),"ABI", "")</f>
        <v/>
      </c>
      <c r="F13" s="46" t="n">
        <f aca="false">RANDBETWEEN(0,120)/1000</f>
        <v>0.055</v>
      </c>
      <c r="G13" s="46" t="n">
        <f aca="false">RANDBETWEEN(0,120)/1000</f>
        <v>0.04</v>
      </c>
      <c r="H13" s="46" t="n">
        <f aca="false">RANDBETWEEN(0,120)/1000</f>
        <v>0.089</v>
      </c>
      <c r="I13" s="46" t="n">
        <f aca="false">RANDBETWEEN(0,120)/1000</f>
        <v>0.069</v>
      </c>
      <c r="J13" s="46" t="n">
        <f aca="false">RANDBETWEEN(0,120)/1000</f>
        <v>0.044</v>
      </c>
      <c r="K13" s="46" t="n">
        <f aca="false">RANDBETWEEN(0,120)/1000</f>
        <v>0.064</v>
      </c>
    </row>
    <row r="14" customFormat="false" ht="12.8" hidden="false" customHeight="false" outlineLevel="0" collapsed="false">
      <c r="A14" s="17" t="str">
        <f aca="false">Décisions!A14</f>
        <v>20150937</v>
      </c>
      <c r="B14" s="33" t="str">
        <f aca="false">Décisions!B14</f>
        <v>DELBREUVE</v>
      </c>
      <c r="C14" s="33" t="str">
        <f aca="false">Décisions!C14</f>
        <v>Benjamin</v>
      </c>
      <c r="D14" s="17" t="str">
        <f aca="false">Décisions!D14</f>
        <v>2-C</v>
      </c>
      <c r="E14" s="17" t="str">
        <f aca="false">IF(OR(G14&gt;$E$2,I14&gt;$E$2,K14&gt;$E$2),"ABI", "")</f>
        <v>ABI</v>
      </c>
      <c r="F14" s="46" t="n">
        <f aca="false">RANDBETWEEN(0,120)/1000</f>
        <v>0.083</v>
      </c>
      <c r="G14" s="46" t="n">
        <f aca="false">RANDBETWEEN(0,120)/1000</f>
        <v>0.116</v>
      </c>
      <c r="H14" s="46" t="n">
        <f aca="false">RANDBETWEEN(0,120)/1000</f>
        <v>0.12</v>
      </c>
      <c r="I14" s="46" t="n">
        <f aca="false">RANDBETWEEN(0,120)/1000</f>
        <v>0.037</v>
      </c>
      <c r="J14" s="46" t="n">
        <f aca="false">RANDBETWEEN(0,120)/1000</f>
        <v>0.09</v>
      </c>
      <c r="K14" s="46" t="n">
        <f aca="false">RANDBETWEEN(0,120)/1000</f>
        <v>0.093</v>
      </c>
    </row>
    <row r="15" customFormat="false" ht="12.8" hidden="false" customHeight="false" outlineLevel="0" collapsed="false">
      <c r="A15" s="17" t="str">
        <f aca="false">Décisions!A15</f>
        <v>20150938</v>
      </c>
      <c r="B15" s="33" t="str">
        <f aca="false">Décisions!B15</f>
        <v>DEROSNE</v>
      </c>
      <c r="C15" s="33" t="str">
        <f aca="false">Décisions!C15</f>
        <v>Florentin</v>
      </c>
      <c r="D15" s="17" t="str">
        <f aca="false">Décisions!D15</f>
        <v>2-B</v>
      </c>
      <c r="E15" s="17" t="str">
        <f aca="false">IF(OR(G15&gt;$E$2,I15&gt;$E$2,K15&gt;$E$2),"ABI", "")</f>
        <v>ABI</v>
      </c>
      <c r="F15" s="46" t="n">
        <f aca="false">RANDBETWEEN(0,120)/1000</f>
        <v>0.112</v>
      </c>
      <c r="G15" s="46" t="n">
        <f aca="false">RANDBETWEEN(0,120)/1000</f>
        <v>0.113</v>
      </c>
      <c r="H15" s="46" t="n">
        <f aca="false">RANDBETWEEN(0,120)/1000</f>
        <v>0.103</v>
      </c>
      <c r="I15" s="46" t="n">
        <f aca="false">RANDBETWEEN(0,120)/1000</f>
        <v>0.062</v>
      </c>
      <c r="J15" s="46" t="n">
        <f aca="false">RANDBETWEEN(0,120)/1000</f>
        <v>0.101</v>
      </c>
      <c r="K15" s="46" t="n">
        <f aca="false">RANDBETWEEN(0,120)/1000</f>
        <v>0.116</v>
      </c>
    </row>
    <row r="16" customFormat="false" ht="12.8" hidden="false" customHeight="false" outlineLevel="0" collapsed="false">
      <c r="A16" s="17" t="str">
        <f aca="false">Décisions!A16</f>
        <v>20150939</v>
      </c>
      <c r="B16" s="33" t="str">
        <f aca="false">Décisions!B16</f>
        <v>DUHAUT</v>
      </c>
      <c r="C16" s="33" t="str">
        <f aca="false">Décisions!C16</f>
        <v>Thomas</v>
      </c>
      <c r="D16" s="17" t="str">
        <f aca="false">Décisions!D16</f>
        <v>2-A</v>
      </c>
      <c r="E16" s="17" t="str">
        <f aca="false">IF(OR(G16&gt;$E$2,I16&gt;$E$2,K16&gt;$E$2),"ABI", "")</f>
        <v/>
      </c>
      <c r="F16" s="46" t="n">
        <f aca="false">RANDBETWEEN(0,120)/1000</f>
        <v>0.058</v>
      </c>
      <c r="G16" s="46" t="n">
        <f aca="false">RANDBETWEEN(0,120)/1000</f>
        <v>0.006</v>
      </c>
      <c r="H16" s="46" t="n">
        <f aca="false">RANDBETWEEN(0,120)/1000</f>
        <v>0.09</v>
      </c>
      <c r="I16" s="46" t="n">
        <f aca="false">RANDBETWEEN(0,120)/1000</f>
        <v>0.057</v>
      </c>
      <c r="J16" s="46" t="n">
        <f aca="false">RANDBETWEEN(0,120)/1000</f>
        <v>0.073</v>
      </c>
      <c r="K16" s="46" t="n">
        <f aca="false">RANDBETWEEN(0,120)/1000</f>
        <v>0.094</v>
      </c>
    </row>
    <row r="17" customFormat="false" ht="12.8" hidden="false" customHeight="false" outlineLevel="0" collapsed="false">
      <c r="A17" s="17" t="str">
        <f aca="false">Décisions!A17</f>
        <v>20150940</v>
      </c>
      <c r="B17" s="33" t="str">
        <f aca="false">Décisions!B17</f>
        <v>DUMETZ</v>
      </c>
      <c r="C17" s="33" t="str">
        <f aca="false">Décisions!C17</f>
        <v>Joffrey</v>
      </c>
      <c r="D17" s="17" t="str">
        <f aca="false">Décisions!D17</f>
        <v>2-C</v>
      </c>
      <c r="E17" s="17" t="str">
        <f aca="false">IF(OR(G17&gt;$E$2,I17&gt;$E$2,K17&gt;$E$2),"ABI", "")</f>
        <v/>
      </c>
      <c r="F17" s="46" t="n">
        <f aca="false">RANDBETWEEN(0,120)/1000</f>
        <v>0.052</v>
      </c>
      <c r="G17" s="46" t="n">
        <f aca="false">RANDBETWEEN(0,120)/1000</f>
        <v>0.065</v>
      </c>
      <c r="H17" s="46" t="n">
        <f aca="false">RANDBETWEEN(0,120)/1000</f>
        <v>0.033</v>
      </c>
      <c r="I17" s="46" t="n">
        <f aca="false">RANDBETWEEN(0,120)/1000</f>
        <v>0.046</v>
      </c>
      <c r="J17" s="46" t="n">
        <f aca="false">RANDBETWEEN(0,120)/1000</f>
        <v>0.019</v>
      </c>
      <c r="K17" s="46" t="n">
        <f aca="false">RANDBETWEEN(0,120)/1000</f>
        <v>0.093</v>
      </c>
    </row>
    <row r="18" customFormat="false" ht="12.8" hidden="false" customHeight="false" outlineLevel="0" collapsed="false">
      <c r="A18" s="17" t="str">
        <f aca="false">Décisions!A18</f>
        <v>20150941</v>
      </c>
      <c r="B18" s="33" t="str">
        <f aca="false">Décisions!B18</f>
        <v>FEVRIER</v>
      </c>
      <c r="C18" s="33" t="str">
        <f aca="false">Décisions!C18</f>
        <v>Tennessee</v>
      </c>
      <c r="D18" s="17" t="str">
        <f aca="false">Décisions!D18</f>
        <v>2-C</v>
      </c>
      <c r="E18" s="17" t="str">
        <f aca="false">IF(OR(G18&gt;$E$2,I18&gt;$E$2,K18&gt;$E$2),"ABI", "")</f>
        <v/>
      </c>
      <c r="F18" s="46" t="n">
        <f aca="false">RANDBETWEEN(0,120)/1000</f>
        <v>0.002</v>
      </c>
      <c r="G18" s="46" t="n">
        <f aca="false">RANDBETWEEN(0,120)/1000</f>
        <v>0.003</v>
      </c>
      <c r="H18" s="46" t="n">
        <f aca="false">RANDBETWEEN(0,120)/1000</f>
        <v>0.001</v>
      </c>
      <c r="I18" s="46" t="n">
        <f aca="false">RANDBETWEEN(0,120)/1000</f>
        <v>0.009</v>
      </c>
      <c r="J18" s="46" t="n">
        <f aca="false">RANDBETWEEN(0,120)/1000</f>
        <v>0.073</v>
      </c>
      <c r="K18" s="46" t="n">
        <f aca="false">RANDBETWEEN(0,120)/1000</f>
        <v>0.037</v>
      </c>
    </row>
    <row r="19" customFormat="false" ht="12.8" hidden="false" customHeight="false" outlineLevel="0" collapsed="false">
      <c r="A19" s="17" t="str">
        <f aca="false">Décisions!A19</f>
        <v>20150942</v>
      </c>
      <c r="B19" s="33" t="str">
        <f aca="false">Décisions!B19</f>
        <v>FORGET</v>
      </c>
      <c r="C19" s="33" t="str">
        <f aca="false">Décisions!C19</f>
        <v>Kévin</v>
      </c>
      <c r="D19" s="17" t="str">
        <f aca="false">Décisions!D19</f>
        <v>2-B</v>
      </c>
      <c r="E19" s="17" t="str">
        <f aca="false">IF(OR(G19&gt;$E$2,I19&gt;$E$2,K19&gt;$E$2),"ABI", "")</f>
        <v>ABI</v>
      </c>
      <c r="F19" s="46" t="n">
        <f aca="false">RANDBETWEEN(0,120)/1000</f>
        <v>0</v>
      </c>
      <c r="G19" s="46" t="n">
        <f aca="false">RANDBETWEEN(0,120)/1000</f>
        <v>0.049</v>
      </c>
      <c r="H19" s="46" t="n">
        <f aca="false">RANDBETWEEN(0,120)/1000</f>
        <v>0.113</v>
      </c>
      <c r="I19" s="46" t="n">
        <f aca="false">RANDBETWEEN(0,120)/1000</f>
        <v>0.116</v>
      </c>
      <c r="J19" s="46" t="n">
        <f aca="false">RANDBETWEEN(0,120)/1000</f>
        <v>0.049</v>
      </c>
      <c r="K19" s="46" t="n">
        <f aca="false">RANDBETWEEN(0,120)/1000</f>
        <v>0.104</v>
      </c>
    </row>
    <row r="20" customFormat="false" ht="12.8" hidden="false" customHeight="false" outlineLevel="0" collapsed="false">
      <c r="A20" s="17" t="str">
        <f aca="false">Décisions!A20</f>
        <v>20150943</v>
      </c>
      <c r="B20" s="33" t="str">
        <f aca="false">Décisions!B20</f>
        <v>FROISSART</v>
      </c>
      <c r="C20" s="33" t="str">
        <f aca="false">Décisions!C20</f>
        <v>Marie</v>
      </c>
      <c r="D20" s="17" t="str">
        <f aca="false">Décisions!D20</f>
        <v>2-B</v>
      </c>
      <c r="E20" s="17" t="str">
        <f aca="false">IF(OR(G20&gt;$E$2,I20&gt;$E$2,K20&gt;$E$2),"ABI", "")</f>
        <v/>
      </c>
      <c r="F20" s="46" t="n">
        <f aca="false">RANDBETWEEN(0,120)/1000</f>
        <v>0.088</v>
      </c>
      <c r="G20" s="46" t="n">
        <f aca="false">RANDBETWEEN(0,120)/1000</f>
        <v>0.076</v>
      </c>
      <c r="H20" s="46" t="n">
        <f aca="false">RANDBETWEEN(0,120)/1000</f>
        <v>0.109</v>
      </c>
      <c r="I20" s="46" t="n">
        <f aca="false">RANDBETWEEN(0,120)/1000</f>
        <v>0.027</v>
      </c>
      <c r="J20" s="46" t="n">
        <f aca="false">RANDBETWEEN(0,120)/1000</f>
        <v>0.052</v>
      </c>
      <c r="K20" s="46" t="n">
        <f aca="false">RANDBETWEEN(0,120)/1000</f>
        <v>0.008</v>
      </c>
    </row>
    <row r="21" customFormat="false" ht="12.8" hidden="false" customHeight="false" outlineLevel="0" collapsed="false">
      <c r="A21" s="17" t="str">
        <f aca="false">Décisions!A21</f>
        <v>20150944</v>
      </c>
      <c r="B21" s="33" t="str">
        <f aca="false">Décisions!B21</f>
        <v>FRUY</v>
      </c>
      <c r="C21" s="33" t="str">
        <f aca="false">Décisions!C21</f>
        <v>Sébastien</v>
      </c>
      <c r="D21" s="17" t="str">
        <f aca="false">Décisions!D21</f>
        <v>2-B</v>
      </c>
      <c r="E21" s="17" t="str">
        <f aca="false">IF(OR(G21&gt;$E$2,I21&gt;$E$2,K21&gt;$E$2),"ABI", "")</f>
        <v>ABI</v>
      </c>
      <c r="F21" s="46" t="n">
        <f aca="false">RANDBETWEEN(0,120)/1000</f>
        <v>0.06</v>
      </c>
      <c r="G21" s="46" t="n">
        <f aca="false">RANDBETWEEN(0,120)/1000</f>
        <v>0.117</v>
      </c>
      <c r="H21" s="46" t="n">
        <f aca="false">RANDBETWEEN(0,120)/1000</f>
        <v>0.098</v>
      </c>
      <c r="I21" s="46" t="n">
        <f aca="false">RANDBETWEEN(0,120)/1000</f>
        <v>0.02</v>
      </c>
      <c r="J21" s="46" t="n">
        <f aca="false">RANDBETWEEN(0,120)/1000</f>
        <v>0.081</v>
      </c>
      <c r="K21" s="46" t="n">
        <f aca="false">RANDBETWEEN(0,120)/1000</f>
        <v>0.044</v>
      </c>
    </row>
    <row r="22" customFormat="false" ht="12.8" hidden="false" customHeight="false" outlineLevel="0" collapsed="false">
      <c r="A22" s="17" t="str">
        <f aca="false">Décisions!A22</f>
        <v>20150945</v>
      </c>
      <c r="B22" s="33" t="str">
        <f aca="false">Décisions!B22</f>
        <v>GEERAERT</v>
      </c>
      <c r="C22" s="33" t="str">
        <f aca="false">Décisions!C22</f>
        <v>Quentin</v>
      </c>
      <c r="D22" s="17" t="str">
        <f aca="false">Décisions!D22</f>
        <v>2-C</v>
      </c>
      <c r="E22" s="17" t="str">
        <f aca="false">IF(OR(G22&gt;$E$2,I22&gt;$E$2,K22&gt;$E$2),"ABI", "")</f>
        <v/>
      </c>
      <c r="F22" s="46" t="n">
        <f aca="false">RANDBETWEEN(0,120)/1000</f>
        <v>0.063</v>
      </c>
      <c r="G22" s="46" t="n">
        <f aca="false">RANDBETWEEN(0,120)/1000</f>
        <v>0.045</v>
      </c>
      <c r="H22" s="46" t="n">
        <f aca="false">RANDBETWEEN(0,120)/1000</f>
        <v>0</v>
      </c>
      <c r="I22" s="46" t="n">
        <f aca="false">RANDBETWEEN(0,120)/1000</f>
        <v>0.102</v>
      </c>
      <c r="J22" s="46" t="n">
        <f aca="false">RANDBETWEEN(0,120)/1000</f>
        <v>0.03</v>
      </c>
      <c r="K22" s="46" t="n">
        <f aca="false">RANDBETWEEN(0,120)/1000</f>
        <v>0.046</v>
      </c>
    </row>
    <row r="23" customFormat="false" ht="12.8" hidden="false" customHeight="false" outlineLevel="0" collapsed="false">
      <c r="A23" s="17" t="str">
        <f aca="false">Décisions!A23</f>
        <v>20150946</v>
      </c>
      <c r="B23" s="33" t="str">
        <f aca="false">Décisions!B23</f>
        <v>GREMBER</v>
      </c>
      <c r="C23" s="33" t="str">
        <f aca="false">Décisions!C23</f>
        <v>Nicolas</v>
      </c>
      <c r="D23" s="17" t="str">
        <f aca="false">Décisions!D23</f>
        <v>2-A</v>
      </c>
      <c r="E23" s="17" t="str">
        <f aca="false">IF(OR(G23&gt;$E$2,I23&gt;$E$2,K23&gt;$E$2),"ABI", "")</f>
        <v/>
      </c>
      <c r="F23" s="46" t="n">
        <f aca="false">RANDBETWEEN(0,120)/1000</f>
        <v>0.105</v>
      </c>
      <c r="G23" s="46" t="n">
        <f aca="false">RANDBETWEEN(0,120)/1000</f>
        <v>0.02</v>
      </c>
      <c r="H23" s="46" t="n">
        <f aca="false">RANDBETWEEN(0,120)/1000</f>
        <v>0.039</v>
      </c>
      <c r="I23" s="46" t="n">
        <f aca="false">RANDBETWEEN(0,120)/1000</f>
        <v>0.1</v>
      </c>
      <c r="J23" s="46" t="n">
        <f aca="false">RANDBETWEEN(0,120)/1000</f>
        <v>0.111</v>
      </c>
      <c r="K23" s="46" t="n">
        <f aca="false">RANDBETWEEN(0,120)/1000</f>
        <v>0.094</v>
      </c>
    </row>
    <row r="24" customFormat="false" ht="12.8" hidden="false" customHeight="false" outlineLevel="0" collapsed="false">
      <c r="A24" s="17" t="str">
        <f aca="false">Décisions!A24</f>
        <v>20150947</v>
      </c>
      <c r="B24" s="33" t="str">
        <f aca="false">Décisions!B24</f>
        <v>HENNAUT</v>
      </c>
      <c r="C24" s="33" t="str">
        <f aca="false">Décisions!C24</f>
        <v>Thibaut</v>
      </c>
      <c r="D24" s="17" t="str">
        <f aca="false">Décisions!D24</f>
        <v>2-A</v>
      </c>
      <c r="E24" s="17" t="str">
        <f aca="false">IF(OR(G24&gt;$E$2,I24&gt;$E$2,K24&gt;$E$2),"ABI", "")</f>
        <v/>
      </c>
      <c r="F24" s="46" t="n">
        <f aca="false">RANDBETWEEN(0,120)/1000</f>
        <v>0.037</v>
      </c>
      <c r="G24" s="46" t="n">
        <f aca="false">RANDBETWEEN(0,120)/1000</f>
        <v>0.021</v>
      </c>
      <c r="H24" s="46" t="n">
        <f aca="false">RANDBETWEEN(0,120)/1000</f>
        <v>0.115</v>
      </c>
      <c r="I24" s="46" t="n">
        <f aca="false">RANDBETWEEN(0,120)/1000</f>
        <v>0.028</v>
      </c>
      <c r="J24" s="46" t="n">
        <f aca="false">RANDBETWEEN(0,120)/1000</f>
        <v>0.092</v>
      </c>
      <c r="K24" s="46" t="n">
        <f aca="false">RANDBETWEEN(0,120)/1000</f>
        <v>0.023</v>
      </c>
    </row>
    <row r="25" customFormat="false" ht="12.8" hidden="false" customHeight="false" outlineLevel="0" collapsed="false">
      <c r="A25" s="17" t="str">
        <f aca="false">Décisions!A25</f>
        <v>20150948</v>
      </c>
      <c r="B25" s="33" t="str">
        <f aca="false">Décisions!B25</f>
        <v>KURZAWSKI</v>
      </c>
      <c r="C25" s="33" t="str">
        <f aca="false">Décisions!C25</f>
        <v>Pierre</v>
      </c>
      <c r="D25" s="17" t="str">
        <f aca="false">Décisions!D25</f>
        <v>2-B</v>
      </c>
      <c r="E25" s="17" t="str">
        <f aca="false">IF(OR(G25&gt;$E$2,I25&gt;$E$2,K25&gt;$E$2),"ABI", "")</f>
        <v/>
      </c>
      <c r="F25" s="46" t="n">
        <f aca="false">RANDBETWEEN(0,120)/1000</f>
        <v>0.095</v>
      </c>
      <c r="G25" s="46" t="n">
        <f aca="false">RANDBETWEEN(0,120)/1000</f>
        <v>0.103</v>
      </c>
      <c r="H25" s="46" t="n">
        <f aca="false">RANDBETWEEN(0,120)/1000</f>
        <v>0.031</v>
      </c>
      <c r="I25" s="46" t="n">
        <f aca="false">RANDBETWEEN(0,120)/1000</f>
        <v>0.025</v>
      </c>
      <c r="J25" s="46" t="n">
        <f aca="false">RANDBETWEEN(0,120)/1000</f>
        <v>0.111</v>
      </c>
      <c r="K25" s="46" t="n">
        <f aca="false">RANDBETWEEN(0,120)/1000</f>
        <v>0.014</v>
      </c>
    </row>
    <row r="26" customFormat="false" ht="12.8" hidden="false" customHeight="false" outlineLevel="0" collapsed="false">
      <c r="A26" s="17" t="str">
        <f aca="false">Décisions!A26</f>
        <v>20150949</v>
      </c>
      <c r="B26" s="33" t="str">
        <f aca="false">Décisions!B26</f>
        <v>LAMBERSENS</v>
      </c>
      <c r="C26" s="33" t="str">
        <f aca="false">Décisions!C26</f>
        <v>Adrien</v>
      </c>
      <c r="D26" s="17" t="str">
        <f aca="false">Décisions!D26</f>
        <v>2-B</v>
      </c>
      <c r="E26" s="17" t="str">
        <f aca="false">IF(OR(G26&gt;$E$2,I26&gt;$E$2,K26&gt;$E$2),"ABI", "")</f>
        <v/>
      </c>
      <c r="F26" s="46" t="n">
        <f aca="false">RANDBETWEEN(0,120)/1000</f>
        <v>0.003</v>
      </c>
      <c r="G26" s="46" t="n">
        <f aca="false">RANDBETWEEN(0,120)/1000</f>
        <v>0.05</v>
      </c>
      <c r="H26" s="46" t="n">
        <f aca="false">RANDBETWEEN(0,120)/1000</f>
        <v>0.05</v>
      </c>
      <c r="I26" s="46" t="n">
        <f aca="false">RANDBETWEEN(0,120)/1000</f>
        <v>0.02</v>
      </c>
      <c r="J26" s="46" t="n">
        <f aca="false">RANDBETWEEN(0,120)/1000</f>
        <v>0.005</v>
      </c>
      <c r="K26" s="46" t="n">
        <f aca="false">RANDBETWEEN(0,120)/1000</f>
        <v>0.11</v>
      </c>
    </row>
    <row r="27" customFormat="false" ht="12.8" hidden="false" customHeight="false" outlineLevel="0" collapsed="false">
      <c r="A27" s="17" t="str">
        <f aca="false">Décisions!A27</f>
        <v>20150950</v>
      </c>
      <c r="B27" s="33" t="str">
        <f aca="false">Décisions!B27</f>
        <v>LE FOLL</v>
      </c>
      <c r="C27" s="33" t="str">
        <f aca="false">Décisions!C27</f>
        <v>Coralie</v>
      </c>
      <c r="D27" s="17" t="str">
        <f aca="false">Décisions!D27</f>
        <v>2-A</v>
      </c>
      <c r="E27" s="17" t="str">
        <f aca="false">IF(OR(G27&gt;$E$2,I27&gt;$E$2,K27&gt;$E$2),"ABI", "")</f>
        <v/>
      </c>
      <c r="F27" s="46" t="n">
        <f aca="false">RANDBETWEEN(0,120)/1000</f>
        <v>0.054</v>
      </c>
      <c r="G27" s="46" t="n">
        <f aca="false">RANDBETWEEN(0,120)/1000</f>
        <v>0.097</v>
      </c>
      <c r="H27" s="46" t="n">
        <f aca="false">RANDBETWEEN(0,120)/1000</f>
        <v>0.087</v>
      </c>
      <c r="I27" s="46" t="n">
        <f aca="false">RANDBETWEEN(0,120)/1000</f>
        <v>0.036</v>
      </c>
      <c r="J27" s="46" t="n">
        <f aca="false">RANDBETWEEN(0,120)/1000</f>
        <v>0.015</v>
      </c>
      <c r="K27" s="46" t="n">
        <f aca="false">RANDBETWEEN(0,120)/1000</f>
        <v>0.016</v>
      </c>
    </row>
    <row r="28" customFormat="false" ht="12.8" hidden="false" customHeight="false" outlineLevel="0" collapsed="false">
      <c r="A28" s="17" t="str">
        <f aca="false">Décisions!A28</f>
        <v>20150951</v>
      </c>
      <c r="B28" s="33" t="str">
        <f aca="false">Décisions!B28</f>
        <v>LECHA</v>
      </c>
      <c r="C28" s="33" t="str">
        <f aca="false">Décisions!C28</f>
        <v>Benjamin</v>
      </c>
      <c r="D28" s="17" t="str">
        <f aca="false">Décisions!D28</f>
        <v>2-C</v>
      </c>
      <c r="E28" s="17" t="str">
        <f aca="false">IF(OR(G28&gt;$E$2,I28&gt;$E$2,K28&gt;$E$2),"ABI", "")</f>
        <v/>
      </c>
      <c r="F28" s="46" t="n">
        <f aca="false">RANDBETWEEN(0,120)/1000</f>
        <v>0.031</v>
      </c>
      <c r="G28" s="46" t="n">
        <f aca="false">RANDBETWEEN(0,120)/1000</f>
        <v>0.008</v>
      </c>
      <c r="H28" s="46" t="n">
        <f aca="false">RANDBETWEEN(0,120)/1000</f>
        <v>0.02</v>
      </c>
      <c r="I28" s="46" t="n">
        <f aca="false">RANDBETWEEN(0,120)/1000</f>
        <v>0.039</v>
      </c>
      <c r="J28" s="46" t="n">
        <f aca="false">RANDBETWEEN(0,120)/1000</f>
        <v>0.055</v>
      </c>
      <c r="K28" s="46" t="n">
        <f aca="false">RANDBETWEEN(0,120)/1000</f>
        <v>0.078</v>
      </c>
    </row>
    <row r="29" customFormat="false" ht="12.8" hidden="false" customHeight="false" outlineLevel="0" collapsed="false">
      <c r="A29" s="17" t="str">
        <f aca="false">Décisions!A29</f>
        <v>20150952</v>
      </c>
      <c r="B29" s="33" t="str">
        <f aca="false">Décisions!B29</f>
        <v>LEFAIT</v>
      </c>
      <c r="C29" s="33" t="str">
        <f aca="false">Décisions!C29</f>
        <v>Romain</v>
      </c>
      <c r="D29" s="17" t="str">
        <f aca="false">Décisions!D29</f>
        <v>2-B</v>
      </c>
      <c r="E29" s="17" t="str">
        <f aca="false">IF(OR(G29&gt;$E$2,I29&gt;$E$2,K29&gt;$E$2),"ABI", "")</f>
        <v/>
      </c>
      <c r="F29" s="46" t="n">
        <f aca="false">RANDBETWEEN(0,120)/1000</f>
        <v>0.013</v>
      </c>
      <c r="G29" s="46" t="n">
        <f aca="false">RANDBETWEEN(0,120)/1000</f>
        <v>0.07</v>
      </c>
      <c r="H29" s="46" t="n">
        <f aca="false">RANDBETWEEN(0,120)/1000</f>
        <v>0.036</v>
      </c>
      <c r="I29" s="46" t="n">
        <f aca="false">RANDBETWEEN(0,120)/1000</f>
        <v>0.02</v>
      </c>
      <c r="J29" s="46" t="n">
        <f aca="false">RANDBETWEEN(0,120)/1000</f>
        <v>0.074</v>
      </c>
      <c r="K29" s="46" t="n">
        <f aca="false">RANDBETWEEN(0,120)/1000</f>
        <v>0.101</v>
      </c>
    </row>
    <row r="30" customFormat="false" ht="12.8" hidden="false" customHeight="false" outlineLevel="0" collapsed="false">
      <c r="A30" s="17" t="str">
        <f aca="false">Décisions!A30</f>
        <v>20150953</v>
      </c>
      <c r="B30" s="33" t="str">
        <f aca="false">Décisions!B30</f>
        <v>LEFEBVRE</v>
      </c>
      <c r="C30" s="33" t="str">
        <f aca="false">Décisions!C30</f>
        <v>Jéremy</v>
      </c>
      <c r="D30" s="17" t="str">
        <f aca="false">Décisions!D30</f>
        <v>2-B</v>
      </c>
      <c r="E30" s="17" t="str">
        <f aca="false">IF(OR(G30&gt;$E$2,I30&gt;$E$2,K30&gt;$E$2),"ABI", "")</f>
        <v/>
      </c>
      <c r="F30" s="46" t="n">
        <f aca="false">RANDBETWEEN(0,120)/1000</f>
        <v>0.106</v>
      </c>
      <c r="G30" s="46" t="n">
        <f aca="false">RANDBETWEEN(0,120)/1000</f>
        <v>0.033</v>
      </c>
      <c r="H30" s="46" t="n">
        <f aca="false">RANDBETWEEN(0,120)/1000</f>
        <v>0.096</v>
      </c>
      <c r="I30" s="46" t="n">
        <f aca="false">RANDBETWEEN(0,120)/1000</f>
        <v>0.019</v>
      </c>
      <c r="J30" s="46" t="n">
        <f aca="false">RANDBETWEEN(0,120)/1000</f>
        <v>0.044</v>
      </c>
      <c r="K30" s="46" t="n">
        <f aca="false">RANDBETWEEN(0,120)/1000</f>
        <v>0.05</v>
      </c>
    </row>
    <row r="31" customFormat="false" ht="12.8" hidden="false" customHeight="false" outlineLevel="0" collapsed="false">
      <c r="A31" s="17" t="str">
        <f aca="false">Décisions!A31</f>
        <v>20150954</v>
      </c>
      <c r="B31" s="33" t="str">
        <f aca="false">Décisions!B31</f>
        <v>LEFEBVRE</v>
      </c>
      <c r="C31" s="33" t="str">
        <f aca="false">Décisions!C31</f>
        <v>Kévin</v>
      </c>
      <c r="D31" s="17" t="str">
        <f aca="false">Décisions!D31</f>
        <v>2-A</v>
      </c>
      <c r="E31" s="17" t="str">
        <f aca="false">IF(OR(G31&gt;$E$2,I31&gt;$E$2,K31&gt;$E$2),"ABI", "")</f>
        <v/>
      </c>
      <c r="F31" s="46" t="n">
        <f aca="false">RANDBETWEEN(0,120)/1000</f>
        <v>0.063</v>
      </c>
      <c r="G31" s="46" t="n">
        <f aca="false">RANDBETWEEN(0,120)/1000</f>
        <v>0.039</v>
      </c>
      <c r="H31" s="46" t="n">
        <f aca="false">RANDBETWEEN(0,120)/1000</f>
        <v>0.029</v>
      </c>
      <c r="I31" s="46" t="n">
        <f aca="false">RANDBETWEEN(0,120)/1000</f>
        <v>0.006</v>
      </c>
      <c r="J31" s="46" t="n">
        <f aca="false">RANDBETWEEN(0,120)/1000</f>
        <v>0.111</v>
      </c>
      <c r="K31" s="46" t="n">
        <f aca="false">RANDBETWEEN(0,120)/1000</f>
        <v>0.016</v>
      </c>
    </row>
    <row r="32" customFormat="false" ht="12.8" hidden="false" customHeight="false" outlineLevel="0" collapsed="false">
      <c r="A32" s="17" t="str">
        <f aca="false">Décisions!A32</f>
        <v>20150955</v>
      </c>
      <c r="B32" s="33" t="str">
        <f aca="false">Décisions!B32</f>
        <v>LEGRAND</v>
      </c>
      <c r="C32" s="33" t="str">
        <f aca="false">Décisions!C32</f>
        <v>Baptiste</v>
      </c>
      <c r="D32" s="17" t="str">
        <f aca="false">Décisions!D32</f>
        <v>2-C</v>
      </c>
      <c r="E32" s="17" t="str">
        <f aca="false">IF(OR(G32&gt;$E$2,I32&gt;$E$2,K32&gt;$E$2),"ABI", "")</f>
        <v/>
      </c>
      <c r="F32" s="46" t="n">
        <f aca="false">RANDBETWEEN(0,120)/1000</f>
        <v>0.096</v>
      </c>
      <c r="G32" s="46" t="n">
        <f aca="false">RANDBETWEEN(0,120)/1000</f>
        <v>0.104</v>
      </c>
      <c r="H32" s="46" t="n">
        <f aca="false">RANDBETWEEN(0,120)/1000</f>
        <v>0.018</v>
      </c>
      <c r="I32" s="46" t="n">
        <f aca="false">RANDBETWEEN(0,120)/1000</f>
        <v>0.05</v>
      </c>
      <c r="J32" s="46" t="n">
        <f aca="false">RANDBETWEEN(0,120)/1000</f>
        <v>0.04</v>
      </c>
      <c r="K32" s="46" t="n">
        <f aca="false">RANDBETWEEN(0,120)/1000</f>
        <v>0.025</v>
      </c>
    </row>
    <row r="33" customFormat="false" ht="12.8" hidden="false" customHeight="false" outlineLevel="0" collapsed="false">
      <c r="A33" s="17" t="str">
        <f aca="false">Décisions!A33</f>
        <v>20150956</v>
      </c>
      <c r="B33" s="33" t="str">
        <f aca="false">Décisions!B33</f>
        <v>LEGRU</v>
      </c>
      <c r="C33" s="33" t="str">
        <f aca="false">Décisions!C33</f>
        <v>Florent</v>
      </c>
      <c r="D33" s="17" t="str">
        <f aca="false">Décisions!D33</f>
        <v>2-B</v>
      </c>
      <c r="E33" s="17" t="str">
        <f aca="false">IF(OR(G33&gt;$E$2,I33&gt;$E$2,K33&gt;$E$2),"ABI", "")</f>
        <v/>
      </c>
      <c r="F33" s="46" t="n">
        <f aca="false">RANDBETWEEN(0,120)/1000</f>
        <v>0.079</v>
      </c>
      <c r="G33" s="46" t="n">
        <f aca="false">RANDBETWEEN(0,120)/1000</f>
        <v>0.025</v>
      </c>
      <c r="H33" s="46" t="n">
        <f aca="false">RANDBETWEEN(0,120)/1000</f>
        <v>0.039</v>
      </c>
      <c r="I33" s="46" t="n">
        <f aca="false">RANDBETWEEN(0,120)/1000</f>
        <v>0.043</v>
      </c>
      <c r="J33" s="46" t="n">
        <f aca="false">RANDBETWEEN(0,120)/1000</f>
        <v>0.075</v>
      </c>
      <c r="K33" s="46" t="n">
        <f aca="false">RANDBETWEEN(0,120)/1000</f>
        <v>0.056</v>
      </c>
    </row>
    <row r="34" customFormat="false" ht="12.8" hidden="false" customHeight="false" outlineLevel="0" collapsed="false">
      <c r="A34" s="17" t="str">
        <f aca="false">Décisions!A34</f>
        <v>20150957</v>
      </c>
      <c r="B34" s="33" t="str">
        <f aca="false">Décisions!B34</f>
        <v>LEMAITRE</v>
      </c>
      <c r="C34" s="33" t="str">
        <f aca="false">Décisions!C34</f>
        <v>Valentin</v>
      </c>
      <c r="D34" s="17" t="str">
        <f aca="false">Décisions!D34</f>
        <v>2-C</v>
      </c>
      <c r="E34" s="17" t="str">
        <f aca="false">IF(OR(G34&gt;$E$2,I34&gt;$E$2,K34&gt;$E$2),"ABI", "")</f>
        <v/>
      </c>
      <c r="F34" s="46" t="n">
        <f aca="false">RANDBETWEEN(0,120)/1000</f>
        <v>0.077</v>
      </c>
      <c r="G34" s="46" t="n">
        <f aca="false">RANDBETWEEN(0,120)/1000</f>
        <v>0.109</v>
      </c>
      <c r="H34" s="46" t="n">
        <f aca="false">RANDBETWEEN(0,120)/1000</f>
        <v>0.015</v>
      </c>
      <c r="I34" s="46" t="n">
        <f aca="false">RANDBETWEEN(0,120)/1000</f>
        <v>0.082</v>
      </c>
      <c r="J34" s="46" t="n">
        <f aca="false">RANDBETWEEN(0,120)/1000</f>
        <v>0.017</v>
      </c>
      <c r="K34" s="46" t="n">
        <f aca="false">RANDBETWEEN(0,120)/1000</f>
        <v>0.028</v>
      </c>
    </row>
    <row r="35" customFormat="false" ht="12.8" hidden="false" customHeight="false" outlineLevel="0" collapsed="false">
      <c r="A35" s="17" t="str">
        <f aca="false">Décisions!A35</f>
        <v>20150958</v>
      </c>
      <c r="B35" s="33" t="str">
        <f aca="false">Décisions!B35</f>
        <v>LESAFFRE</v>
      </c>
      <c r="C35" s="33" t="str">
        <f aca="false">Décisions!C35</f>
        <v>Romain</v>
      </c>
      <c r="D35" s="17" t="str">
        <f aca="false">Décisions!D35</f>
        <v>2-A</v>
      </c>
      <c r="E35" s="17" t="str">
        <f aca="false">IF(OR(G35&gt;$E$2,I35&gt;$E$2,K35&gt;$E$2),"ABI", "")</f>
        <v/>
      </c>
      <c r="F35" s="46" t="n">
        <f aca="false">RANDBETWEEN(0,120)/1000</f>
        <v>0.048</v>
      </c>
      <c r="G35" s="46" t="n">
        <f aca="false">RANDBETWEEN(0,120)/1000</f>
        <v>0.093</v>
      </c>
      <c r="H35" s="46" t="n">
        <f aca="false">RANDBETWEEN(0,120)/1000</f>
        <v>0.118</v>
      </c>
      <c r="I35" s="46" t="n">
        <f aca="false">RANDBETWEEN(0,120)/1000</f>
        <v>0.025</v>
      </c>
      <c r="J35" s="46" t="n">
        <f aca="false">RANDBETWEEN(0,120)/1000</f>
        <v>0.099</v>
      </c>
      <c r="K35" s="46" t="n">
        <f aca="false">RANDBETWEEN(0,120)/1000</f>
        <v>0.029</v>
      </c>
    </row>
    <row r="36" customFormat="false" ht="12.8" hidden="false" customHeight="false" outlineLevel="0" collapsed="false">
      <c r="A36" s="17" t="str">
        <f aca="false">Décisions!A36</f>
        <v>20150959</v>
      </c>
      <c r="B36" s="33" t="str">
        <f aca="false">Décisions!B36</f>
        <v>LETERTRE</v>
      </c>
      <c r="C36" s="33" t="str">
        <f aca="false">Décisions!C36</f>
        <v>Florian</v>
      </c>
      <c r="D36" s="17" t="str">
        <f aca="false">Décisions!D36</f>
        <v>2-C</v>
      </c>
      <c r="E36" s="17" t="str">
        <f aca="false">IF(OR(G36&gt;$E$2,I36&gt;$E$2,K36&gt;$E$2),"ABI", "")</f>
        <v/>
      </c>
      <c r="F36" s="46" t="n">
        <f aca="false">RANDBETWEEN(0,120)/1000</f>
        <v>0.069</v>
      </c>
      <c r="G36" s="46" t="n">
        <f aca="false">RANDBETWEEN(0,120)/1000</f>
        <v>0.005</v>
      </c>
      <c r="H36" s="46" t="n">
        <f aca="false">RANDBETWEEN(0,120)/1000</f>
        <v>0.084</v>
      </c>
      <c r="I36" s="46" t="n">
        <f aca="false">RANDBETWEEN(0,120)/1000</f>
        <v>0.102</v>
      </c>
      <c r="J36" s="46" t="n">
        <f aca="false">RANDBETWEEN(0,120)/1000</f>
        <v>0.06</v>
      </c>
      <c r="K36" s="46" t="n">
        <f aca="false">RANDBETWEEN(0,120)/1000</f>
        <v>0.011</v>
      </c>
    </row>
    <row r="37" customFormat="false" ht="12.8" hidden="false" customHeight="false" outlineLevel="0" collapsed="false">
      <c r="A37" s="17" t="str">
        <f aca="false">Décisions!A37</f>
        <v>20150960</v>
      </c>
      <c r="B37" s="33" t="str">
        <f aca="false">Décisions!B37</f>
        <v>LONGOUR</v>
      </c>
      <c r="C37" s="33" t="str">
        <f aca="false">Décisions!C37</f>
        <v>David</v>
      </c>
      <c r="D37" s="17" t="str">
        <f aca="false">Décisions!D37</f>
        <v>2-A</v>
      </c>
      <c r="E37" s="17" t="str">
        <f aca="false">IF(OR(G37&gt;$E$2,I37&gt;$E$2,K37&gt;$E$2),"ABI", "")</f>
        <v/>
      </c>
      <c r="F37" s="46" t="n">
        <f aca="false">RANDBETWEEN(0,120)/1000</f>
        <v>0.024</v>
      </c>
      <c r="G37" s="46" t="n">
        <f aca="false">RANDBETWEEN(0,120)/1000</f>
        <v>0.018</v>
      </c>
      <c r="H37" s="46" t="n">
        <f aca="false">RANDBETWEEN(0,120)/1000</f>
        <v>0.087</v>
      </c>
      <c r="I37" s="46" t="n">
        <f aca="false">RANDBETWEEN(0,120)/1000</f>
        <v>0.022</v>
      </c>
      <c r="J37" s="46" t="n">
        <f aca="false">RANDBETWEEN(0,120)/1000</f>
        <v>0.032</v>
      </c>
      <c r="K37" s="46" t="n">
        <f aca="false">RANDBETWEEN(0,120)/1000</f>
        <v>0.092</v>
      </c>
    </row>
    <row r="38" customFormat="false" ht="12.8" hidden="false" customHeight="false" outlineLevel="0" collapsed="false">
      <c r="A38" s="17" t="str">
        <f aca="false">Décisions!A38</f>
        <v>20150961</v>
      </c>
      <c r="B38" s="33" t="str">
        <f aca="false">Décisions!B38</f>
        <v>LOOPE</v>
      </c>
      <c r="C38" s="33" t="str">
        <f aca="false">Décisions!C38</f>
        <v>Giovanni</v>
      </c>
      <c r="D38" s="17" t="str">
        <f aca="false">Décisions!D38</f>
        <v>2-A</v>
      </c>
      <c r="E38" s="17" t="str">
        <f aca="false">IF(OR(G38&gt;$E$2,I38&gt;$E$2,K38&gt;$E$2),"ABI", "")</f>
        <v>ABI</v>
      </c>
      <c r="F38" s="46" t="n">
        <f aca="false">RANDBETWEEN(0,120)/1000</f>
        <v>0.077</v>
      </c>
      <c r="G38" s="46" t="n">
        <f aca="false">RANDBETWEEN(0,120)/1000</f>
        <v>0.12</v>
      </c>
      <c r="H38" s="46" t="n">
        <f aca="false">RANDBETWEEN(0,120)/1000</f>
        <v>0.022</v>
      </c>
      <c r="I38" s="46" t="n">
        <f aca="false">RANDBETWEEN(0,120)/1000</f>
        <v>0.107</v>
      </c>
      <c r="J38" s="46" t="n">
        <f aca="false">RANDBETWEEN(0,120)/1000</f>
        <v>0.06</v>
      </c>
      <c r="K38" s="46" t="n">
        <f aca="false">RANDBETWEEN(0,120)/1000</f>
        <v>0.009</v>
      </c>
    </row>
    <row r="39" customFormat="false" ht="12.8" hidden="false" customHeight="false" outlineLevel="0" collapsed="false">
      <c r="A39" s="17" t="str">
        <f aca="false">Décisions!A39</f>
        <v>20150962</v>
      </c>
      <c r="B39" s="33" t="str">
        <f aca="false">Décisions!B39</f>
        <v>MAERTEN</v>
      </c>
      <c r="C39" s="33" t="str">
        <f aca="false">Décisions!C39</f>
        <v>Nicolas</v>
      </c>
      <c r="D39" s="17" t="str">
        <f aca="false">Décisions!D39</f>
        <v>2-A</v>
      </c>
      <c r="E39" s="17" t="str">
        <f aca="false">IF(OR(G39&gt;$E$2,I39&gt;$E$2,K39&gt;$E$2),"ABI", "")</f>
        <v>ABI</v>
      </c>
      <c r="F39" s="46" t="n">
        <f aca="false">RANDBETWEEN(0,120)/1000</f>
        <v>0.012</v>
      </c>
      <c r="G39" s="46" t="n">
        <f aca="false">RANDBETWEEN(0,120)/1000</f>
        <v>0.037</v>
      </c>
      <c r="H39" s="46" t="n">
        <f aca="false">RANDBETWEEN(0,120)/1000</f>
        <v>0.058</v>
      </c>
      <c r="I39" s="46" t="n">
        <f aca="false">RANDBETWEEN(0,120)/1000</f>
        <v>0.111</v>
      </c>
      <c r="J39" s="46" t="n">
        <f aca="false">RANDBETWEEN(0,120)/1000</f>
        <v>0.031</v>
      </c>
      <c r="K39" s="46" t="n">
        <f aca="false">RANDBETWEEN(0,120)/1000</f>
        <v>0.034</v>
      </c>
    </row>
    <row r="40" customFormat="false" ht="12.8" hidden="false" customHeight="false" outlineLevel="0" collapsed="false">
      <c r="A40" s="17" t="str">
        <f aca="false">Décisions!A40</f>
        <v>20150963</v>
      </c>
      <c r="B40" s="33" t="str">
        <f aca="false">Décisions!B40</f>
        <v>MAILLOT</v>
      </c>
      <c r="C40" s="33" t="str">
        <f aca="false">Décisions!C40</f>
        <v>Maxime</v>
      </c>
      <c r="D40" s="17" t="str">
        <f aca="false">Décisions!D40</f>
        <v>2-B</v>
      </c>
      <c r="E40" s="17" t="str">
        <f aca="false">IF(OR(G40&gt;$E$2,I40&gt;$E$2,K40&gt;$E$2),"ABI", "")</f>
        <v/>
      </c>
      <c r="F40" s="46" t="n">
        <f aca="false">RANDBETWEEN(0,120)/1000</f>
        <v>0.097</v>
      </c>
      <c r="G40" s="46" t="n">
        <f aca="false">RANDBETWEEN(0,120)/1000</f>
        <v>0.042</v>
      </c>
      <c r="H40" s="46" t="n">
        <f aca="false">RANDBETWEEN(0,120)/1000</f>
        <v>0.119</v>
      </c>
      <c r="I40" s="46" t="n">
        <f aca="false">RANDBETWEEN(0,120)/1000</f>
        <v>0.06</v>
      </c>
      <c r="J40" s="46" t="n">
        <f aca="false">RANDBETWEEN(0,120)/1000</f>
        <v>0.048</v>
      </c>
      <c r="K40" s="46" t="n">
        <f aca="false">RANDBETWEEN(0,120)/1000</f>
        <v>0.101</v>
      </c>
    </row>
    <row r="41" customFormat="false" ht="12.8" hidden="false" customHeight="false" outlineLevel="0" collapsed="false">
      <c r="A41" s="17" t="str">
        <f aca="false">Décisions!A41</f>
        <v>20150964</v>
      </c>
      <c r="B41" s="33" t="str">
        <f aca="false">Décisions!B41</f>
        <v>MARIE</v>
      </c>
      <c r="C41" s="33" t="str">
        <f aca="false">Décisions!C41</f>
        <v>Louis</v>
      </c>
      <c r="D41" s="17" t="str">
        <f aca="false">Décisions!D41</f>
        <v>2-A</v>
      </c>
      <c r="E41" s="17" t="str">
        <f aca="false">IF(OR(G41&gt;$E$2,I41&gt;$E$2,K41&gt;$E$2),"ABI", "")</f>
        <v>ABI</v>
      </c>
      <c r="F41" s="46" t="n">
        <f aca="false">RANDBETWEEN(0,120)/1000</f>
        <v>0.104</v>
      </c>
      <c r="G41" s="46" t="n">
        <f aca="false">RANDBETWEEN(0,120)/1000</f>
        <v>0.12</v>
      </c>
      <c r="H41" s="46" t="n">
        <f aca="false">RANDBETWEEN(0,120)/1000</f>
        <v>0.038</v>
      </c>
      <c r="I41" s="46" t="n">
        <f aca="false">RANDBETWEEN(0,120)/1000</f>
        <v>0.114</v>
      </c>
      <c r="J41" s="46" t="n">
        <f aca="false">RANDBETWEEN(0,120)/1000</f>
        <v>0.064</v>
      </c>
      <c r="K41" s="46" t="n">
        <f aca="false">RANDBETWEEN(0,120)/1000</f>
        <v>0.103</v>
      </c>
    </row>
    <row r="42" customFormat="false" ht="12.8" hidden="false" customHeight="false" outlineLevel="0" collapsed="false">
      <c r="A42" s="17" t="str">
        <f aca="false">Décisions!A42</f>
        <v>20150965</v>
      </c>
      <c r="B42" s="33" t="str">
        <f aca="false">Décisions!B42</f>
        <v>MARTIN</v>
      </c>
      <c r="C42" s="33" t="str">
        <f aca="false">Décisions!C42</f>
        <v>Alexandre</v>
      </c>
      <c r="D42" s="17" t="str">
        <f aca="false">Décisions!D42</f>
        <v>2-C</v>
      </c>
      <c r="E42" s="17" t="str">
        <f aca="false">IF(OR(G42&gt;$E$2,I42&gt;$E$2,K42&gt;$E$2),"ABI", "")</f>
        <v/>
      </c>
      <c r="F42" s="46" t="n">
        <f aca="false">RANDBETWEEN(0,120)/1000</f>
        <v>0.002</v>
      </c>
      <c r="G42" s="46" t="n">
        <f aca="false">RANDBETWEEN(0,120)/1000</f>
        <v>0.021</v>
      </c>
      <c r="H42" s="46" t="n">
        <f aca="false">RANDBETWEEN(0,120)/1000</f>
        <v>0.099</v>
      </c>
      <c r="I42" s="46" t="n">
        <f aca="false">RANDBETWEEN(0,120)/1000</f>
        <v>0.08</v>
      </c>
      <c r="J42" s="46" t="n">
        <f aca="false">RANDBETWEEN(0,120)/1000</f>
        <v>0.012</v>
      </c>
      <c r="K42" s="46" t="n">
        <f aca="false">RANDBETWEEN(0,120)/1000</f>
        <v>0.094</v>
      </c>
    </row>
    <row r="43" customFormat="false" ht="12.8" hidden="false" customHeight="false" outlineLevel="0" collapsed="false">
      <c r="A43" s="17" t="str">
        <f aca="false">Décisions!A43</f>
        <v>20150966</v>
      </c>
      <c r="B43" s="33" t="str">
        <f aca="false">Décisions!B43</f>
        <v>MASSELOT</v>
      </c>
      <c r="C43" s="33" t="str">
        <f aca="false">Décisions!C43</f>
        <v>Romain</v>
      </c>
      <c r="D43" s="17" t="str">
        <f aca="false">Décisions!D43</f>
        <v>2-A</v>
      </c>
      <c r="E43" s="17" t="str">
        <f aca="false">IF(OR(G43&gt;$E$2,I43&gt;$E$2,K43&gt;$E$2),"ABI", "")</f>
        <v/>
      </c>
      <c r="F43" s="46" t="n">
        <f aca="false">RANDBETWEEN(0,120)/1000</f>
        <v>0.018</v>
      </c>
      <c r="G43" s="46" t="n">
        <f aca="false">RANDBETWEEN(0,120)/1000</f>
        <v>0.016</v>
      </c>
      <c r="H43" s="46" t="n">
        <f aca="false">RANDBETWEEN(0,120)/1000</f>
        <v>0.108</v>
      </c>
      <c r="I43" s="46" t="n">
        <f aca="false">RANDBETWEEN(0,120)/1000</f>
        <v>0.086</v>
      </c>
      <c r="J43" s="46" t="n">
        <f aca="false">RANDBETWEEN(0,120)/1000</f>
        <v>0.059</v>
      </c>
      <c r="K43" s="46" t="n">
        <f aca="false">RANDBETWEEN(0,120)/1000</f>
        <v>0.075</v>
      </c>
    </row>
    <row r="44" customFormat="false" ht="12.8" hidden="false" customHeight="false" outlineLevel="0" collapsed="false">
      <c r="A44" s="17" t="str">
        <f aca="false">Décisions!A44</f>
        <v>20150967</v>
      </c>
      <c r="B44" s="33" t="str">
        <f aca="false">Décisions!B44</f>
        <v>MERLIN</v>
      </c>
      <c r="C44" s="33" t="str">
        <f aca="false">Décisions!C44</f>
        <v>Anthony</v>
      </c>
      <c r="D44" s="17" t="str">
        <f aca="false">Décisions!D44</f>
        <v>2-A</v>
      </c>
      <c r="E44" s="17" t="str">
        <f aca="false">IF(OR(G44&gt;$E$2,I44&gt;$E$2,K44&gt;$E$2),"ABI", "")</f>
        <v>ABI</v>
      </c>
      <c r="F44" s="46" t="n">
        <f aca="false">RANDBETWEEN(0,120)/1000</f>
        <v>0.103</v>
      </c>
      <c r="G44" s="46" t="n">
        <f aca="false">RANDBETWEEN(0,120)/1000</f>
        <v>0.115</v>
      </c>
      <c r="H44" s="46" t="n">
        <f aca="false">RANDBETWEEN(0,120)/1000</f>
        <v>0.084</v>
      </c>
      <c r="I44" s="46" t="n">
        <f aca="false">RANDBETWEEN(0,120)/1000</f>
        <v>0.084</v>
      </c>
      <c r="J44" s="46" t="n">
        <f aca="false">RANDBETWEEN(0,120)/1000</f>
        <v>0.083</v>
      </c>
      <c r="K44" s="46" t="n">
        <f aca="false">RANDBETWEEN(0,120)/1000</f>
        <v>0.055</v>
      </c>
    </row>
    <row r="45" customFormat="false" ht="12.8" hidden="false" customHeight="false" outlineLevel="0" collapsed="false">
      <c r="A45" s="17" t="str">
        <f aca="false">Décisions!A45</f>
        <v>20150968</v>
      </c>
      <c r="B45" s="33" t="str">
        <f aca="false">Décisions!B45</f>
        <v>PETIT</v>
      </c>
      <c r="C45" s="33" t="str">
        <f aca="false">Décisions!C45</f>
        <v>Chloe</v>
      </c>
      <c r="D45" s="17" t="str">
        <f aca="false">Décisions!D45</f>
        <v>2-C</v>
      </c>
      <c r="E45" s="17" t="str">
        <f aca="false">IF(OR(G45&gt;$E$2,I45&gt;$E$2,K45&gt;$E$2),"ABI", "")</f>
        <v/>
      </c>
      <c r="F45" s="46" t="n">
        <f aca="false">RANDBETWEEN(0,120)/1000</f>
        <v>0.025</v>
      </c>
      <c r="G45" s="46" t="n">
        <f aca="false">RANDBETWEEN(0,120)/1000</f>
        <v>0.103</v>
      </c>
      <c r="H45" s="46" t="n">
        <f aca="false">RANDBETWEEN(0,120)/1000</f>
        <v>0.045</v>
      </c>
      <c r="I45" s="46" t="n">
        <f aca="false">RANDBETWEEN(0,120)/1000</f>
        <v>0.09</v>
      </c>
      <c r="J45" s="46" t="n">
        <f aca="false">RANDBETWEEN(0,120)/1000</f>
        <v>0.079</v>
      </c>
      <c r="K45" s="46" t="n">
        <f aca="false">RANDBETWEEN(0,120)/1000</f>
        <v>0.006</v>
      </c>
    </row>
    <row r="46" customFormat="false" ht="12.8" hidden="false" customHeight="false" outlineLevel="0" collapsed="false">
      <c r="A46" s="17" t="str">
        <f aca="false">Décisions!A46</f>
        <v>20150969</v>
      </c>
      <c r="B46" s="33" t="str">
        <f aca="false">Décisions!B46</f>
        <v>POLAN</v>
      </c>
      <c r="C46" s="33" t="str">
        <f aca="false">Décisions!C46</f>
        <v>Geoffrey</v>
      </c>
      <c r="D46" s="17" t="str">
        <f aca="false">Décisions!D46</f>
        <v>2-A</v>
      </c>
      <c r="E46" s="17" t="str">
        <f aca="false">IF(OR(G46&gt;$E$2,I46&gt;$E$2,K46&gt;$E$2),"ABI", "")</f>
        <v/>
      </c>
      <c r="F46" s="46" t="n">
        <f aca="false">RANDBETWEEN(0,120)/1000</f>
        <v>0.002</v>
      </c>
      <c r="G46" s="46" t="n">
        <f aca="false">RANDBETWEEN(0,120)/1000</f>
        <v>0.081</v>
      </c>
      <c r="H46" s="46" t="n">
        <f aca="false">RANDBETWEEN(0,120)/1000</f>
        <v>0.039</v>
      </c>
      <c r="I46" s="46" t="n">
        <f aca="false">RANDBETWEEN(0,120)/1000</f>
        <v>0.042</v>
      </c>
      <c r="J46" s="46" t="n">
        <f aca="false">RANDBETWEEN(0,120)/1000</f>
        <v>0.056</v>
      </c>
      <c r="K46" s="46" t="n">
        <f aca="false">RANDBETWEEN(0,120)/1000</f>
        <v>0.02</v>
      </c>
    </row>
    <row r="47" customFormat="false" ht="12.8" hidden="false" customHeight="false" outlineLevel="0" collapsed="false">
      <c r="A47" s="17" t="str">
        <f aca="false">Décisions!A47</f>
        <v>20150970</v>
      </c>
      <c r="B47" s="33" t="str">
        <f aca="false">Décisions!B47</f>
        <v>POUILLY</v>
      </c>
      <c r="C47" s="33" t="str">
        <f aca="false">Décisions!C47</f>
        <v>Gaetan</v>
      </c>
      <c r="D47" s="17" t="str">
        <f aca="false">Décisions!D47</f>
        <v>2-B</v>
      </c>
      <c r="E47" s="17" t="str">
        <f aca="false">IF(OR(G47&gt;$E$2,I47&gt;$E$2,K47&gt;$E$2),"ABI", "")</f>
        <v>ABI</v>
      </c>
      <c r="F47" s="46" t="n">
        <f aca="false">RANDBETWEEN(0,120)/1000</f>
        <v>0.064</v>
      </c>
      <c r="G47" s="46" t="n">
        <f aca="false">RANDBETWEEN(0,120)/1000</f>
        <v>0.023</v>
      </c>
      <c r="H47" s="46" t="n">
        <f aca="false">RANDBETWEEN(0,120)/1000</f>
        <v>0.009</v>
      </c>
      <c r="I47" s="46" t="n">
        <f aca="false">RANDBETWEEN(0,120)/1000</f>
        <v>0.117</v>
      </c>
      <c r="J47" s="46" t="n">
        <f aca="false">RANDBETWEEN(0,120)/1000</f>
        <v>0.051</v>
      </c>
      <c r="K47" s="46" t="n">
        <f aca="false">RANDBETWEEN(0,120)/1000</f>
        <v>0.029</v>
      </c>
    </row>
    <row r="48" customFormat="false" ht="12.8" hidden="false" customHeight="false" outlineLevel="0" collapsed="false">
      <c r="A48" s="17" t="str">
        <f aca="false">Décisions!A48</f>
        <v>20150971</v>
      </c>
      <c r="B48" s="33" t="str">
        <f aca="false">Décisions!B48</f>
        <v>ROLAND</v>
      </c>
      <c r="C48" s="33" t="str">
        <f aca="false">Décisions!C48</f>
        <v>Jeremie</v>
      </c>
      <c r="D48" s="17" t="str">
        <f aca="false">Décisions!D48</f>
        <v>2-C</v>
      </c>
      <c r="E48" s="17" t="str">
        <f aca="false">IF(OR(G48&gt;$E$2,I48&gt;$E$2,K48&gt;$E$2),"ABI", "")</f>
        <v/>
      </c>
      <c r="F48" s="46" t="n">
        <f aca="false">RANDBETWEEN(0,120)/1000</f>
        <v>0.004</v>
      </c>
      <c r="G48" s="46" t="n">
        <f aca="false">RANDBETWEEN(0,120)/1000</f>
        <v>0.005</v>
      </c>
      <c r="H48" s="46" t="n">
        <f aca="false">RANDBETWEEN(0,120)/1000</f>
        <v>0.06</v>
      </c>
      <c r="I48" s="46" t="n">
        <f aca="false">RANDBETWEEN(0,120)/1000</f>
        <v>0.064</v>
      </c>
      <c r="J48" s="46" t="n">
        <f aca="false">RANDBETWEEN(0,120)/1000</f>
        <v>0.021</v>
      </c>
      <c r="K48" s="46" t="n">
        <f aca="false">RANDBETWEEN(0,120)/1000</f>
        <v>0.092</v>
      </c>
    </row>
    <row r="49" customFormat="false" ht="12.8" hidden="false" customHeight="false" outlineLevel="0" collapsed="false">
      <c r="A49" s="17" t="str">
        <f aca="false">Décisions!A49</f>
        <v>20150972</v>
      </c>
      <c r="B49" s="33" t="str">
        <f aca="false">Décisions!B49</f>
        <v>ROTTIERS</v>
      </c>
      <c r="C49" s="33" t="str">
        <f aca="false">Décisions!C49</f>
        <v>Theo</v>
      </c>
      <c r="D49" s="17" t="str">
        <f aca="false">Décisions!D49</f>
        <v>2-B</v>
      </c>
      <c r="E49" s="17" t="str">
        <f aca="false">IF(OR(G49&gt;$E$2,I49&gt;$E$2,K49&gt;$E$2),"ABI", "")</f>
        <v/>
      </c>
      <c r="F49" s="46" t="n">
        <f aca="false">RANDBETWEEN(0,120)/1000</f>
        <v>0.025</v>
      </c>
      <c r="G49" s="46" t="n">
        <f aca="false">RANDBETWEEN(0,120)/1000</f>
        <v>0.009</v>
      </c>
      <c r="H49" s="46" t="n">
        <f aca="false">RANDBETWEEN(0,120)/1000</f>
        <v>0.025</v>
      </c>
      <c r="I49" s="46" t="n">
        <f aca="false">RANDBETWEEN(0,120)/1000</f>
        <v>0.066</v>
      </c>
      <c r="J49" s="46" t="n">
        <f aca="false">RANDBETWEEN(0,120)/1000</f>
        <v>0.027</v>
      </c>
      <c r="K49" s="46" t="n">
        <f aca="false">RANDBETWEEN(0,120)/1000</f>
        <v>0.021</v>
      </c>
    </row>
    <row r="50" customFormat="false" ht="12.8" hidden="false" customHeight="false" outlineLevel="0" collapsed="false">
      <c r="A50" s="17" t="str">
        <f aca="false">Décisions!A50</f>
        <v>20150973</v>
      </c>
      <c r="B50" s="33" t="str">
        <f aca="false">Décisions!B50</f>
        <v>SACRE</v>
      </c>
      <c r="C50" s="33" t="str">
        <f aca="false">Décisions!C50</f>
        <v>Pierre</v>
      </c>
      <c r="D50" s="17" t="str">
        <f aca="false">Décisions!D50</f>
        <v>2-B</v>
      </c>
      <c r="E50" s="17" t="str">
        <f aca="false">IF(OR(G50&gt;$E$2,I50&gt;$E$2,K50&gt;$E$2),"ABI", "")</f>
        <v/>
      </c>
      <c r="F50" s="46" t="n">
        <f aca="false">RANDBETWEEN(0,120)/1000</f>
        <v>0.032</v>
      </c>
      <c r="G50" s="46" t="n">
        <f aca="false">RANDBETWEEN(0,120)/1000</f>
        <v>0.094</v>
      </c>
      <c r="H50" s="46" t="n">
        <f aca="false">RANDBETWEEN(0,120)/1000</f>
        <v>0.038</v>
      </c>
      <c r="I50" s="46" t="n">
        <f aca="false">RANDBETWEEN(0,120)/1000</f>
        <v>0.094</v>
      </c>
      <c r="J50" s="46" t="n">
        <f aca="false">RANDBETWEEN(0,120)/1000</f>
        <v>0.064</v>
      </c>
      <c r="K50" s="46" t="n">
        <f aca="false">RANDBETWEEN(0,120)/1000</f>
        <v>0.085</v>
      </c>
    </row>
    <row r="51" customFormat="false" ht="12.8" hidden="false" customHeight="false" outlineLevel="0" collapsed="false">
      <c r="A51" s="17" t="str">
        <f aca="false">Décisions!A51</f>
        <v>20150974</v>
      </c>
      <c r="B51" s="33" t="str">
        <f aca="false">Décisions!B51</f>
        <v>SCHILLER</v>
      </c>
      <c r="C51" s="33" t="str">
        <f aca="false">Décisions!C51</f>
        <v>Dylan</v>
      </c>
      <c r="D51" s="17" t="str">
        <f aca="false">Décisions!D51</f>
        <v>2-C</v>
      </c>
      <c r="E51" s="17" t="str">
        <f aca="false">IF(OR(G51&gt;$E$2,I51&gt;$E$2,K51&gt;$E$2),"ABI", "")</f>
        <v/>
      </c>
      <c r="F51" s="46" t="n">
        <f aca="false">RANDBETWEEN(0,120)/1000</f>
        <v>0.021</v>
      </c>
      <c r="G51" s="46" t="n">
        <f aca="false">RANDBETWEEN(0,120)/1000</f>
        <v>0.054</v>
      </c>
      <c r="H51" s="46" t="n">
        <f aca="false">RANDBETWEEN(0,120)/1000</f>
        <v>0.004</v>
      </c>
      <c r="I51" s="46" t="n">
        <f aca="false">RANDBETWEEN(0,120)/1000</f>
        <v>0.016</v>
      </c>
      <c r="J51" s="46" t="n">
        <f aca="false">RANDBETWEEN(0,120)/1000</f>
        <v>0.07</v>
      </c>
      <c r="K51" s="46" t="n">
        <f aca="false">RANDBETWEEN(0,120)/1000</f>
        <v>0.034</v>
      </c>
    </row>
    <row r="52" customFormat="false" ht="12.8" hidden="false" customHeight="false" outlineLevel="0" collapsed="false">
      <c r="A52" s="17" t="str">
        <f aca="false">Décisions!A52</f>
        <v>20150975</v>
      </c>
      <c r="B52" s="33" t="str">
        <f aca="false">Décisions!B52</f>
        <v>SURET</v>
      </c>
      <c r="C52" s="33" t="str">
        <f aca="false">Décisions!C52</f>
        <v>Kévin</v>
      </c>
      <c r="D52" s="17" t="str">
        <f aca="false">Décisions!D52</f>
        <v>2-A</v>
      </c>
      <c r="E52" s="17" t="str">
        <f aca="false">IF(OR(G52&gt;$E$2,I52&gt;$E$2,K52&gt;$E$2),"ABI", "")</f>
        <v/>
      </c>
      <c r="F52" s="46" t="n">
        <f aca="false">RANDBETWEEN(0,120)/1000</f>
        <v>0.011</v>
      </c>
      <c r="G52" s="46" t="n">
        <f aca="false">RANDBETWEEN(0,120)/1000</f>
        <v>0.109</v>
      </c>
      <c r="H52" s="46" t="n">
        <f aca="false">RANDBETWEEN(0,120)/1000</f>
        <v>0.073</v>
      </c>
      <c r="I52" s="46" t="n">
        <f aca="false">RANDBETWEEN(0,120)/1000</f>
        <v>0.03</v>
      </c>
      <c r="J52" s="46" t="n">
        <f aca="false">RANDBETWEEN(0,120)/1000</f>
        <v>0.028</v>
      </c>
      <c r="K52" s="46" t="n">
        <f aca="false">RANDBETWEEN(0,120)/1000</f>
        <v>0.051</v>
      </c>
    </row>
    <row r="53" customFormat="false" ht="12.8" hidden="false" customHeight="false" outlineLevel="0" collapsed="false">
      <c r="A53" s="17" t="str">
        <f aca="false">Décisions!A53</f>
        <v>20150976</v>
      </c>
      <c r="B53" s="33" t="str">
        <f aca="false">Décisions!B53</f>
        <v>SZKARADEK</v>
      </c>
      <c r="C53" s="33" t="str">
        <f aca="false">Décisions!C53</f>
        <v>Thibaud</v>
      </c>
      <c r="D53" s="17" t="str">
        <f aca="false">Décisions!D53</f>
        <v>2-B</v>
      </c>
      <c r="E53" s="17" t="str">
        <f aca="false">IF(OR(G53&gt;$E$2,I53&gt;$E$2,K53&gt;$E$2),"ABI", "")</f>
        <v/>
      </c>
      <c r="F53" s="46" t="n">
        <f aca="false">RANDBETWEEN(0,120)/1000</f>
        <v>0.044</v>
      </c>
      <c r="G53" s="46" t="n">
        <f aca="false">RANDBETWEEN(0,120)/1000</f>
        <v>0.099</v>
      </c>
      <c r="H53" s="46" t="n">
        <f aca="false">RANDBETWEEN(0,120)/1000</f>
        <v>0.047</v>
      </c>
      <c r="I53" s="46" t="n">
        <f aca="false">RANDBETWEEN(0,120)/1000</f>
        <v>0</v>
      </c>
      <c r="J53" s="46" t="n">
        <f aca="false">RANDBETWEEN(0,120)/1000</f>
        <v>0.059</v>
      </c>
      <c r="K53" s="46" t="n">
        <f aca="false">RANDBETWEEN(0,120)/1000</f>
        <v>0.096</v>
      </c>
    </row>
    <row r="54" customFormat="false" ht="12.8" hidden="false" customHeight="false" outlineLevel="0" collapsed="false">
      <c r="A54" s="17" t="str">
        <f aca="false">Décisions!A54</f>
        <v>20150977</v>
      </c>
      <c r="B54" s="33" t="str">
        <f aca="false">Décisions!B54</f>
        <v>SZYMURA</v>
      </c>
      <c r="C54" s="33" t="str">
        <f aca="false">Décisions!C54</f>
        <v>Alexandre</v>
      </c>
      <c r="D54" s="17" t="str">
        <f aca="false">Décisions!D54</f>
        <v>2-C</v>
      </c>
      <c r="E54" s="17" t="str">
        <f aca="false">IF(OR(G54&gt;$E$2,I54&gt;$E$2,K54&gt;$E$2),"ABI", "")</f>
        <v/>
      </c>
      <c r="F54" s="46" t="n">
        <f aca="false">RANDBETWEEN(0,120)/1000</f>
        <v>0.027</v>
      </c>
      <c r="G54" s="46" t="n">
        <f aca="false">RANDBETWEEN(0,120)/1000</f>
        <v>0.039</v>
      </c>
      <c r="H54" s="46" t="n">
        <f aca="false">RANDBETWEEN(0,120)/1000</f>
        <v>0.01</v>
      </c>
      <c r="I54" s="46" t="n">
        <f aca="false">RANDBETWEEN(0,120)/1000</f>
        <v>0.053</v>
      </c>
      <c r="J54" s="46" t="n">
        <f aca="false">RANDBETWEEN(0,120)/1000</f>
        <v>0.095</v>
      </c>
      <c r="K54" s="46" t="n">
        <f aca="false">RANDBETWEEN(0,120)/1000</f>
        <v>0.036</v>
      </c>
    </row>
    <row r="55" customFormat="false" ht="12.8" hidden="false" customHeight="false" outlineLevel="0" collapsed="false">
      <c r="A55" s="17" t="str">
        <f aca="false">Décisions!A55</f>
        <v>20150978</v>
      </c>
      <c r="B55" s="33" t="str">
        <f aca="false">Décisions!B55</f>
        <v>TANG</v>
      </c>
      <c r="C55" s="33" t="str">
        <f aca="false">Décisions!C55</f>
        <v>Frédéric</v>
      </c>
      <c r="D55" s="17" t="str">
        <f aca="false">Décisions!D55</f>
        <v>2-C</v>
      </c>
      <c r="E55" s="17" t="str">
        <f aca="false">IF(OR(G55&gt;$E$2,I55&gt;$E$2,K55&gt;$E$2),"ABI", "")</f>
        <v>ABI</v>
      </c>
      <c r="F55" s="46" t="n">
        <f aca="false">RANDBETWEEN(0,120)/1000</f>
        <v>0.104</v>
      </c>
      <c r="G55" s="46" t="n">
        <f aca="false">RANDBETWEEN(0,120)/1000</f>
        <v>0.111</v>
      </c>
      <c r="H55" s="46" t="n">
        <f aca="false">RANDBETWEEN(0,120)/1000</f>
        <v>0.058</v>
      </c>
      <c r="I55" s="46" t="n">
        <f aca="false">RANDBETWEEN(0,120)/1000</f>
        <v>0.004</v>
      </c>
      <c r="J55" s="46" t="n">
        <f aca="false">RANDBETWEEN(0,120)/1000</f>
        <v>0.119</v>
      </c>
      <c r="K55" s="46" t="n">
        <f aca="false">RANDBETWEEN(0,120)/1000</f>
        <v>0.019</v>
      </c>
    </row>
    <row r="56" customFormat="false" ht="12.8" hidden="false" customHeight="false" outlineLevel="0" collapsed="false">
      <c r="A56" s="17" t="str">
        <f aca="false">Décisions!A56</f>
        <v>20150979</v>
      </c>
      <c r="B56" s="33" t="str">
        <f aca="false">Décisions!B56</f>
        <v>TASSART</v>
      </c>
      <c r="C56" s="33" t="str">
        <f aca="false">Décisions!C56</f>
        <v>Alexandre</v>
      </c>
      <c r="D56" s="17" t="str">
        <f aca="false">Décisions!D56</f>
        <v>2-B</v>
      </c>
      <c r="E56" s="17" t="str">
        <f aca="false">IF(OR(G56&gt;$E$2,I56&gt;$E$2,K56&gt;$E$2),"ABI", "")</f>
        <v/>
      </c>
      <c r="F56" s="46" t="n">
        <f aca="false">RANDBETWEEN(0,120)/1000</f>
        <v>0.063</v>
      </c>
      <c r="G56" s="46" t="n">
        <f aca="false">RANDBETWEEN(0,120)/1000</f>
        <v>0.064</v>
      </c>
      <c r="H56" s="46" t="n">
        <f aca="false">RANDBETWEEN(0,120)/1000</f>
        <v>0.11</v>
      </c>
      <c r="I56" s="46" t="n">
        <f aca="false">RANDBETWEEN(0,120)/1000</f>
        <v>0.049</v>
      </c>
      <c r="J56" s="46" t="n">
        <f aca="false">RANDBETWEEN(0,120)/1000</f>
        <v>0.029</v>
      </c>
      <c r="K56" s="46" t="n">
        <f aca="false">RANDBETWEEN(0,120)/1000</f>
        <v>0.078</v>
      </c>
    </row>
    <row r="57" customFormat="false" ht="12.8" hidden="false" customHeight="false" outlineLevel="0" collapsed="false">
      <c r="A57" s="17" t="str">
        <f aca="false">Décisions!A57</f>
        <v>20150980</v>
      </c>
      <c r="B57" s="33" t="str">
        <f aca="false">Décisions!B57</f>
        <v>THERAGE</v>
      </c>
      <c r="C57" s="33" t="str">
        <f aca="false">Décisions!C57</f>
        <v>Lucas</v>
      </c>
      <c r="D57" s="17" t="str">
        <f aca="false">Décisions!D57</f>
        <v>2-A</v>
      </c>
      <c r="E57" s="17" t="str">
        <f aca="false">IF(OR(G57&gt;$E$2,I57&gt;$E$2,K57&gt;$E$2),"ABI", "")</f>
        <v/>
      </c>
      <c r="F57" s="46" t="n">
        <f aca="false">RANDBETWEEN(0,120)/1000</f>
        <v>0.075</v>
      </c>
      <c r="G57" s="46" t="n">
        <f aca="false">RANDBETWEEN(0,120)/1000</f>
        <v>0.038</v>
      </c>
      <c r="H57" s="46" t="n">
        <f aca="false">RANDBETWEEN(0,120)/1000</f>
        <v>0.035</v>
      </c>
      <c r="I57" s="46" t="n">
        <f aca="false">RANDBETWEEN(0,120)/1000</f>
        <v>0.071</v>
      </c>
      <c r="J57" s="46" t="n">
        <f aca="false">RANDBETWEEN(0,120)/1000</f>
        <v>0.007</v>
      </c>
      <c r="K57" s="46" t="n">
        <f aca="false">RANDBETWEEN(0,120)/1000</f>
        <v>0.1</v>
      </c>
    </row>
    <row r="58" customFormat="false" ht="12.8" hidden="false" customHeight="false" outlineLevel="0" collapsed="false">
      <c r="A58" s="17" t="str">
        <f aca="false">Décisions!A58</f>
        <v>20150981</v>
      </c>
      <c r="B58" s="33" t="str">
        <f aca="false">Décisions!B58</f>
        <v>THOMAS</v>
      </c>
      <c r="C58" s="33" t="str">
        <f aca="false">Décisions!C58</f>
        <v>Louis</v>
      </c>
      <c r="D58" s="17" t="str">
        <f aca="false">Décisions!D58</f>
        <v>2-B</v>
      </c>
      <c r="E58" s="17" t="str">
        <f aca="false">IF(OR(G58&gt;$E$2,I58&gt;$E$2,K58&gt;$E$2),"ABI", "")</f>
        <v/>
      </c>
      <c r="F58" s="46" t="n">
        <f aca="false">RANDBETWEEN(0,120)/1000</f>
        <v>0.117</v>
      </c>
      <c r="G58" s="46" t="n">
        <f aca="false">RANDBETWEEN(0,120)/1000</f>
        <v>0.066</v>
      </c>
      <c r="H58" s="46" t="n">
        <f aca="false">RANDBETWEEN(0,120)/1000</f>
        <v>0.041</v>
      </c>
      <c r="I58" s="46" t="n">
        <f aca="false">RANDBETWEEN(0,120)/1000</f>
        <v>0.08</v>
      </c>
      <c r="J58" s="46" t="n">
        <f aca="false">RANDBETWEEN(0,120)/1000</f>
        <v>0.117</v>
      </c>
      <c r="K58" s="46" t="n">
        <f aca="false">RANDBETWEEN(0,120)/1000</f>
        <v>0.084</v>
      </c>
    </row>
    <row r="59" customFormat="false" ht="12.8" hidden="false" customHeight="false" outlineLevel="0" collapsed="false">
      <c r="A59" s="17" t="str">
        <f aca="false">Décisions!A59</f>
        <v>20150982</v>
      </c>
      <c r="B59" s="33" t="str">
        <f aca="false">Décisions!B59</f>
        <v>VANDEWOORDE</v>
      </c>
      <c r="C59" s="33" t="str">
        <f aca="false">Décisions!C59</f>
        <v>Aymeric</v>
      </c>
      <c r="D59" s="17" t="str">
        <f aca="false">Décisions!D59</f>
        <v>2-B</v>
      </c>
      <c r="E59" s="17" t="str">
        <f aca="false">IF(OR(G59&gt;$E$2,I59&gt;$E$2,K59&gt;$E$2),"ABI", "")</f>
        <v>ABI</v>
      </c>
      <c r="F59" s="46" t="n">
        <f aca="false">RANDBETWEEN(0,120)/1000</f>
        <v>0.075</v>
      </c>
      <c r="G59" s="46" t="n">
        <f aca="false">RANDBETWEEN(0,120)/1000</f>
        <v>0.069</v>
      </c>
      <c r="H59" s="46" t="n">
        <f aca="false">RANDBETWEEN(0,120)/1000</f>
        <v>0.029</v>
      </c>
      <c r="I59" s="46" t="n">
        <f aca="false">RANDBETWEEN(0,120)/1000</f>
        <v>0.09</v>
      </c>
      <c r="J59" s="46" t="n">
        <f aca="false">RANDBETWEEN(0,120)/1000</f>
        <v>0.101</v>
      </c>
      <c r="K59" s="46" t="n">
        <f aca="false">RANDBETWEEN(0,120)/1000</f>
        <v>0.116</v>
      </c>
    </row>
    <row r="60" customFormat="false" ht="12.8" hidden="false" customHeight="false" outlineLevel="0" collapsed="false">
      <c r="A60" s="17" t="str">
        <f aca="false">Décisions!A60</f>
        <v>20150983</v>
      </c>
      <c r="B60" s="33" t="str">
        <f aca="false">Décisions!B60</f>
        <v>VANROY</v>
      </c>
      <c r="C60" s="33" t="str">
        <f aca="false">Décisions!C60</f>
        <v>Julien</v>
      </c>
      <c r="D60" s="17" t="str">
        <f aca="false">Décisions!D60</f>
        <v>2-A</v>
      </c>
      <c r="E60" s="17" t="str">
        <f aca="false">IF(OR(G60&gt;$E$2,I60&gt;$E$2,K60&gt;$E$2),"ABI", "")</f>
        <v>ABI</v>
      </c>
      <c r="F60" s="46" t="n">
        <f aca="false">RANDBETWEEN(0,120)/1000</f>
        <v>0.063</v>
      </c>
      <c r="G60" s="46" t="n">
        <f aca="false">RANDBETWEEN(0,120)/1000</f>
        <v>0.115</v>
      </c>
      <c r="H60" s="46" t="n">
        <f aca="false">RANDBETWEEN(0,120)/1000</f>
        <v>0.013</v>
      </c>
      <c r="I60" s="46" t="n">
        <f aca="false">RANDBETWEEN(0,120)/1000</f>
        <v>0.069</v>
      </c>
      <c r="J60" s="46" t="n">
        <f aca="false">RANDBETWEEN(0,120)/1000</f>
        <v>0</v>
      </c>
      <c r="K60" s="46" t="n">
        <f aca="false">RANDBETWEEN(0,120)/1000</f>
        <v>0.091</v>
      </c>
    </row>
    <row r="61" customFormat="false" ht="12.8" hidden="false" customHeight="false" outlineLevel="0" collapsed="false">
      <c r="A61" s="17" t="str">
        <f aca="false">Décisions!A61</f>
        <v>20150984</v>
      </c>
      <c r="B61" s="33" t="str">
        <f aca="false">Décisions!B61</f>
        <v>VELLA</v>
      </c>
      <c r="C61" s="33" t="str">
        <f aca="false">Décisions!C61</f>
        <v>Emanuele</v>
      </c>
      <c r="D61" s="17" t="str">
        <f aca="false">Décisions!D61</f>
        <v>2-C</v>
      </c>
      <c r="E61" s="17" t="str">
        <f aca="false">IF(OR(G61&gt;$E$2,I61&gt;$E$2,K61&gt;$E$2),"ABI", "")</f>
        <v/>
      </c>
      <c r="F61" s="46" t="n">
        <f aca="false">RANDBETWEEN(0,120)/1000</f>
        <v>0.049</v>
      </c>
      <c r="G61" s="46" t="n">
        <f aca="false">RANDBETWEEN(0,120)/1000</f>
        <v>0.019</v>
      </c>
      <c r="H61" s="46" t="n">
        <f aca="false">RANDBETWEEN(0,120)/1000</f>
        <v>0.1</v>
      </c>
      <c r="I61" s="46" t="n">
        <f aca="false">RANDBETWEEN(0,120)/1000</f>
        <v>0.11</v>
      </c>
      <c r="J61" s="46" t="n">
        <f aca="false">RANDBETWEEN(0,120)/1000</f>
        <v>0.062</v>
      </c>
      <c r="K61" s="46" t="n">
        <f aca="false">RANDBETWEEN(0,120)/1000</f>
        <v>0.012</v>
      </c>
    </row>
    <row r="62" customFormat="false" ht="12.8" hidden="false" customHeight="false" outlineLevel="0" collapsed="false">
      <c r="A62" s="17" t="str">
        <f aca="false">Décisions!A62</f>
        <v>20150985</v>
      </c>
      <c r="B62" s="33" t="str">
        <f aca="false">Décisions!B62</f>
        <v>VERPOEST</v>
      </c>
      <c r="C62" s="33" t="str">
        <f aca="false">Décisions!C62</f>
        <v>Sylvain</v>
      </c>
      <c r="D62" s="17" t="str">
        <f aca="false">Décisions!D62</f>
        <v>2-A</v>
      </c>
      <c r="E62" s="17" t="str">
        <f aca="false">IF(OR(G62&gt;$E$2,I62&gt;$E$2,K62&gt;$E$2),"ABI", "")</f>
        <v/>
      </c>
      <c r="F62" s="46" t="n">
        <f aca="false">RANDBETWEEN(0,120)/1000</f>
        <v>0.013</v>
      </c>
      <c r="G62" s="46" t="n">
        <f aca="false">RANDBETWEEN(0,120)/1000</f>
        <v>0.076</v>
      </c>
      <c r="H62" s="46" t="n">
        <f aca="false">RANDBETWEEN(0,120)/1000</f>
        <v>0.005</v>
      </c>
      <c r="I62" s="46" t="n">
        <f aca="false">RANDBETWEEN(0,120)/1000</f>
        <v>0.105</v>
      </c>
      <c r="J62" s="46" t="n">
        <f aca="false">RANDBETWEEN(0,120)/1000</f>
        <v>0.085</v>
      </c>
      <c r="K62" s="46" t="n">
        <f aca="false">RANDBETWEEN(0,120)/1000</f>
        <v>0.021</v>
      </c>
    </row>
    <row r="63" customFormat="false" ht="12.8" hidden="false" customHeight="false" outlineLevel="0" collapsed="false">
      <c r="A63" s="17" t="str">
        <f aca="false">Décisions!A63</f>
        <v>20150986</v>
      </c>
      <c r="B63" s="33" t="str">
        <f aca="false">Décisions!B63</f>
        <v>WICART</v>
      </c>
      <c r="C63" s="33" t="str">
        <f aca="false">Décisions!C63</f>
        <v>Melvin</v>
      </c>
      <c r="D63" s="17" t="str">
        <f aca="false">Décisions!D63</f>
        <v>2-B</v>
      </c>
      <c r="E63" s="17" t="str">
        <f aca="false">IF(OR(G63&gt;$E$2,I63&gt;$E$2,K63&gt;$E$2),"ABI", "")</f>
        <v>ABI</v>
      </c>
      <c r="F63" s="46" t="n">
        <f aca="false">RANDBETWEEN(0,120)/1000</f>
        <v>0.019</v>
      </c>
      <c r="G63" s="46" t="n">
        <f aca="false">RANDBETWEEN(0,120)/1000</f>
        <v>0.074</v>
      </c>
      <c r="H63" s="46" t="n">
        <f aca="false">RANDBETWEEN(0,120)/1000</f>
        <v>0.042</v>
      </c>
      <c r="I63" s="46" t="n">
        <f aca="false">RANDBETWEEN(0,120)/1000</f>
        <v>0.111</v>
      </c>
      <c r="J63" s="46" t="n">
        <f aca="false">RANDBETWEEN(0,120)/1000</f>
        <v>0.07</v>
      </c>
      <c r="K63" s="46" t="n">
        <f aca="false">RANDBETWEEN(0,120)/1000</f>
        <v>0.044</v>
      </c>
    </row>
    <row r="64" customFormat="false" ht="12.8" hidden="false" customHeight="false" outlineLevel="0" collapsed="false">
      <c r="A64" s="17" t="s">
        <v>303</v>
      </c>
      <c r="B64" s="36"/>
      <c r="C64" s="36"/>
      <c r="D64" s="37"/>
      <c r="E64" s="14"/>
    </row>
    <row r="65" customFormat="false" ht="12.8" hidden="false" customHeight="false" outlineLevel="0" collapsed="false">
      <c r="A65" s="17"/>
      <c r="B65" s="40"/>
      <c r="C65" s="40"/>
      <c r="D65" s="41"/>
      <c r="E65" s="47"/>
    </row>
    <row r="66" customFormat="false" ht="12.8" hidden="false" customHeight="false" outlineLevel="0" collapsed="false">
      <c r="A66" s="17"/>
      <c r="B66" s="40"/>
      <c r="C66" s="40"/>
      <c r="D66" s="41"/>
      <c r="E66" s="47"/>
    </row>
    <row r="67" customFormat="false" ht="12.8" hidden="false" customHeight="false" outlineLevel="0" collapsed="false">
      <c r="A67" s="0" t="s">
        <v>275</v>
      </c>
      <c r="B67" s="18" t="s">
        <v>276</v>
      </c>
      <c r="C67" s="18"/>
      <c r="D67" s="35"/>
      <c r="E67" s="48"/>
    </row>
    <row r="68" customFormat="false" ht="12.8" hidden="false" customHeight="false" outlineLevel="0" collapsed="false">
      <c r="A68" s="0" t="s">
        <v>277</v>
      </c>
      <c r="B68" s="18" t="s">
        <v>278</v>
      </c>
      <c r="C68" s="18"/>
      <c r="D68" s="35"/>
      <c r="E68" s="48"/>
    </row>
    <row r="69" customFormat="false" ht="12.8" hidden="false" customHeight="false" outlineLevel="0" collapsed="false">
      <c r="A69" s="0" t="s">
        <v>279</v>
      </c>
      <c r="B69" s="19" t="n">
        <v>42614</v>
      </c>
      <c r="C69" s="18"/>
      <c r="D69" s="35"/>
      <c r="E69" s="48"/>
    </row>
    <row r="70" customFormat="false" ht="12.8" hidden="false" customHeight="false" outlineLevel="0" collapsed="false">
      <c r="A70" s="0" t="s">
        <v>280</v>
      </c>
      <c r="B70" s="18" t="s">
        <v>281</v>
      </c>
      <c r="C70" s="18"/>
      <c r="D70" s="35"/>
      <c r="E70" s="48"/>
    </row>
    <row r="71" customFormat="false" ht="12.8" hidden="false" customHeight="false" outlineLevel="0" collapsed="false">
      <c r="A71" s="0" t="s">
        <v>222</v>
      </c>
      <c r="B71" s="18" t="s">
        <v>227</v>
      </c>
      <c r="C71" s="18"/>
      <c r="D71" s="35"/>
      <c r="E71" s="48"/>
    </row>
  </sheetData>
  <mergeCells count="3">
    <mergeCell ref="F1:G1"/>
    <mergeCell ref="H1:I1"/>
    <mergeCell ref="J1:K1"/>
  </mergeCells>
  <conditionalFormatting sqref="F3:K63">
    <cfRule type="cellIs" priority="2" operator="greaterThan" aboveAverage="0" equalAverage="0" bottom="0" percent="0" rank="0" text="" dxfId="0">
      <formula>0.1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landscape" usePrinterDefaults="false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7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83" activeCellId="0" sqref="B83"/>
    </sheetView>
  </sheetViews>
  <sheetFormatPr defaultRowHeight="12.8"/>
  <cols>
    <col collapsed="false" hidden="false" max="1" min="1" style="0" width="18.0255102040816"/>
    <col collapsed="false" hidden="false" max="2" min="2" style="0" width="17.7295918367347"/>
    <col collapsed="false" hidden="false" max="3" min="3" style="0" width="11.5204081632653"/>
    <col collapsed="false" hidden="false" max="4" min="4" style="1" width="11.5204081632653"/>
    <col collapsed="false" hidden="false" max="5" min="5" style="49" width="11.5204081632653"/>
    <col collapsed="false" hidden="false" max="1025" min="6" style="0" width="11.5204081632653"/>
  </cols>
  <sheetData>
    <row r="1" customFormat="false" ht="12.8" hidden="false" customHeight="false" outlineLevel="0" collapsed="false">
      <c r="A1" s="0" t="str">
        <f aca="false">'Detail Notes S3'!A1</f>
        <v>Numéro</v>
      </c>
      <c r="B1" s="0" t="str">
        <f aca="false">'Detail Notes S3'!B1</f>
        <v>Nom</v>
      </c>
      <c r="C1" s="0" t="str">
        <f aca="false">'Detail Notes S3'!C1</f>
        <v>Prénom</v>
      </c>
      <c r="D1" s="1" t="str">
        <f aca="false">'Detail Notes S3'!D1</f>
        <v>Groupe</v>
      </c>
      <c r="E1" s="49" t="s">
        <v>304</v>
      </c>
      <c r="F1" s="0" t="s">
        <v>283</v>
      </c>
    </row>
    <row r="3" customFormat="false" ht="12.8" hidden="false" customHeight="false" outlineLevel="0" collapsed="false">
      <c r="A3" s="15" t="str">
        <f aca="false">'Detail Notes S3'!A3</f>
        <v>20150926</v>
      </c>
      <c r="B3" s="15" t="str">
        <f aca="false">'Detail Notes S3'!B3</f>
        <v>BAUDELET</v>
      </c>
      <c r="C3" s="15" t="str">
        <f aca="false">'Detail Notes S3'!C3</f>
        <v>Geoffrey</v>
      </c>
      <c r="D3" s="17" t="str">
        <f aca="false">'Detail Notes S3'!D3</f>
        <v>2-B</v>
      </c>
      <c r="E3" s="31" t="n">
        <f aca="false">RANDBETWEEN(50,200)/10</f>
        <v>11.3</v>
      </c>
      <c r="F3" s="17" t="n">
        <f aca="false">RANK(E3,$E$3:$E$63)</f>
        <v>32</v>
      </c>
    </row>
    <row r="4" customFormat="false" ht="12.8" hidden="false" customHeight="false" outlineLevel="0" collapsed="false">
      <c r="A4" s="15" t="str">
        <f aca="false">'Detail Notes S3'!A4</f>
        <v>20150927</v>
      </c>
      <c r="B4" s="15" t="str">
        <f aca="false">'Detail Notes S3'!B4</f>
        <v>BIGARD</v>
      </c>
      <c r="C4" s="15" t="str">
        <f aca="false">'Detail Notes S3'!C4</f>
        <v>Samuel</v>
      </c>
      <c r="D4" s="17" t="str">
        <f aca="false">'Detail Notes S3'!D4</f>
        <v>2-C</v>
      </c>
      <c r="E4" s="31" t="n">
        <f aca="false">RANDBETWEEN(50,200)/10</f>
        <v>12.3</v>
      </c>
      <c r="F4" s="17" t="n">
        <f aca="false">RANK(E4,$E$3:$E$63)</f>
        <v>23</v>
      </c>
    </row>
    <row r="5" customFormat="false" ht="12.8" hidden="false" customHeight="false" outlineLevel="0" collapsed="false">
      <c r="A5" s="15" t="str">
        <f aca="false">'Detail Notes S3'!A5</f>
        <v>20150928</v>
      </c>
      <c r="B5" s="15" t="str">
        <f aca="false">'Detail Notes S3'!B5</f>
        <v>BISSON</v>
      </c>
      <c r="C5" s="15" t="str">
        <f aca="false">'Detail Notes S3'!C5</f>
        <v>Julien</v>
      </c>
      <c r="D5" s="17" t="str">
        <f aca="false">'Detail Notes S3'!D5</f>
        <v>2-A</v>
      </c>
      <c r="E5" s="31" t="n">
        <f aca="false">RANDBETWEEN(50,200)/10</f>
        <v>17.3</v>
      </c>
      <c r="F5" s="17" t="n">
        <f aca="false">RANK(E5,$E$3:$E$63)</f>
        <v>8</v>
      </c>
    </row>
    <row r="6" customFormat="false" ht="12.8" hidden="false" customHeight="false" outlineLevel="0" collapsed="false">
      <c r="A6" s="15" t="str">
        <f aca="false">'Detail Notes S3'!A6</f>
        <v>20150929</v>
      </c>
      <c r="B6" s="15" t="str">
        <f aca="false">'Detail Notes S3'!B6</f>
        <v>BONTE</v>
      </c>
      <c r="C6" s="15" t="str">
        <f aca="false">'Detail Notes S3'!C6</f>
        <v>Nicolas</v>
      </c>
      <c r="D6" s="17" t="str">
        <f aca="false">'Detail Notes S3'!D6</f>
        <v>2-A</v>
      </c>
      <c r="E6" s="31" t="n">
        <f aca="false">RANDBETWEEN(50,200)/10</f>
        <v>6</v>
      </c>
      <c r="F6" s="17" t="n">
        <f aca="false">RANK(E6,$E$3:$E$63)</f>
        <v>57</v>
      </c>
    </row>
    <row r="7" customFormat="false" ht="12.8" hidden="false" customHeight="false" outlineLevel="0" collapsed="false">
      <c r="A7" s="15" t="str">
        <f aca="false">'Detail Notes S3'!A7</f>
        <v>20150930</v>
      </c>
      <c r="B7" s="15" t="str">
        <f aca="false">'Detail Notes S3'!B7</f>
        <v>BOULNOIS</v>
      </c>
      <c r="C7" s="15" t="str">
        <f aca="false">'Detail Notes S3'!C7</f>
        <v>Louis</v>
      </c>
      <c r="D7" s="17" t="str">
        <f aca="false">'Detail Notes S3'!D7</f>
        <v>2-A</v>
      </c>
      <c r="E7" s="31" t="n">
        <f aca="false">RANDBETWEEN(50,200)/10</f>
        <v>12.2</v>
      </c>
      <c r="F7" s="17" t="n">
        <f aca="false">RANK(E7,$E$3:$E$63)</f>
        <v>25</v>
      </c>
    </row>
    <row r="8" customFormat="false" ht="12.8" hidden="false" customHeight="false" outlineLevel="0" collapsed="false">
      <c r="A8" s="15" t="str">
        <f aca="false">'Detail Notes S3'!A8</f>
        <v>20150931</v>
      </c>
      <c r="B8" s="15" t="str">
        <f aca="false">'Detail Notes S3'!B8</f>
        <v>CHATELET</v>
      </c>
      <c r="C8" s="15" t="str">
        <f aca="false">'Detail Notes S3'!C8</f>
        <v>Hadrien</v>
      </c>
      <c r="D8" s="17" t="str">
        <f aca="false">'Detail Notes S3'!D8</f>
        <v>2-B</v>
      </c>
      <c r="E8" s="31" t="n">
        <f aca="false">RANDBETWEEN(50,200)/10</f>
        <v>16</v>
      </c>
      <c r="F8" s="17" t="n">
        <f aca="false">RANK(E8,$E$3:$E$63)</f>
        <v>14</v>
      </c>
    </row>
    <row r="9" customFormat="false" ht="12.8" hidden="false" customHeight="false" outlineLevel="0" collapsed="false">
      <c r="A9" s="15" t="str">
        <f aca="false">'Detail Notes S3'!A9</f>
        <v>20150932</v>
      </c>
      <c r="B9" s="15" t="str">
        <f aca="false">'Detail Notes S3'!B9</f>
        <v>CLEROT</v>
      </c>
      <c r="C9" s="15" t="str">
        <f aca="false">'Detail Notes S3'!C9</f>
        <v>Jérémy</v>
      </c>
      <c r="D9" s="17" t="str">
        <f aca="false">'Detail Notes S3'!D9</f>
        <v>2-C</v>
      </c>
      <c r="E9" s="31" t="n">
        <f aca="false">RANDBETWEEN(50,200)/10</f>
        <v>8.4</v>
      </c>
      <c r="F9" s="17" t="n">
        <f aca="false">RANK(E9,$E$3:$E$63)</f>
        <v>48</v>
      </c>
    </row>
    <row r="10" customFormat="false" ht="12.8" hidden="false" customHeight="false" outlineLevel="0" collapsed="false">
      <c r="A10" s="15" t="str">
        <f aca="false">'Detail Notes S3'!A10</f>
        <v>20150933</v>
      </c>
      <c r="B10" s="15" t="str">
        <f aca="false">'Detail Notes S3'!B10</f>
        <v>CORNU</v>
      </c>
      <c r="C10" s="15" t="str">
        <f aca="false">'Detail Notes S3'!C10</f>
        <v>Bastien</v>
      </c>
      <c r="D10" s="17" t="str">
        <f aca="false">'Detail Notes S3'!D10</f>
        <v>2-C</v>
      </c>
      <c r="E10" s="31" t="n">
        <f aca="false">RANDBETWEEN(50,200)/10</f>
        <v>5.5</v>
      </c>
      <c r="F10" s="17" t="n">
        <f aca="false">RANK(E10,$E$3:$E$63)</f>
        <v>58</v>
      </c>
    </row>
    <row r="11" customFormat="false" ht="12.8" hidden="false" customHeight="false" outlineLevel="0" collapsed="false">
      <c r="A11" s="15" t="str">
        <f aca="false">'Detail Notes S3'!A11</f>
        <v>20150934</v>
      </c>
      <c r="B11" s="15" t="str">
        <f aca="false">'Detail Notes S3'!B11</f>
        <v>DACHY</v>
      </c>
      <c r="C11" s="15" t="str">
        <f aca="false">'Detail Notes S3'!C11</f>
        <v>Remy</v>
      </c>
      <c r="D11" s="17" t="str">
        <f aca="false">'Detail Notes S3'!D11</f>
        <v>2-B</v>
      </c>
      <c r="E11" s="31" t="n">
        <f aca="false">RANDBETWEEN(50,200)/10</f>
        <v>7.5</v>
      </c>
      <c r="F11" s="17" t="n">
        <f aca="false">RANK(E11,$E$3:$E$63)</f>
        <v>51</v>
      </c>
    </row>
    <row r="12" customFormat="false" ht="12.8" hidden="false" customHeight="false" outlineLevel="0" collapsed="false">
      <c r="A12" s="15" t="str">
        <f aca="false">'Detail Notes S3'!A12</f>
        <v>20150935</v>
      </c>
      <c r="B12" s="15" t="str">
        <f aca="false">'Detail Notes S3'!B12</f>
        <v>DANGLETERRE</v>
      </c>
      <c r="C12" s="15" t="str">
        <f aca="false">'Detail Notes S3'!C12</f>
        <v>Thomas</v>
      </c>
      <c r="D12" s="17" t="str">
        <f aca="false">'Detail Notes S3'!D12</f>
        <v>2-C</v>
      </c>
      <c r="E12" s="31" t="n">
        <f aca="false">RANDBETWEEN(50,200)/10</f>
        <v>15.9</v>
      </c>
      <c r="F12" s="17" t="n">
        <f aca="false">RANK(E12,$E$3:$E$63)</f>
        <v>16</v>
      </c>
    </row>
    <row r="13" customFormat="false" ht="12.8" hidden="false" customHeight="false" outlineLevel="0" collapsed="false">
      <c r="A13" s="15" t="str">
        <f aca="false">'Detail Notes S3'!A13</f>
        <v>20150936</v>
      </c>
      <c r="B13" s="15" t="str">
        <f aca="false">'Detail Notes S3'!B13</f>
        <v>DEBACKER</v>
      </c>
      <c r="C13" s="15" t="str">
        <f aca="false">'Detail Notes S3'!C13</f>
        <v>Thomas</v>
      </c>
      <c r="D13" s="17" t="str">
        <f aca="false">'Detail Notes S3'!D13</f>
        <v>2-C</v>
      </c>
      <c r="E13" s="31" t="n">
        <f aca="false">RANDBETWEEN(50,200)/10</f>
        <v>10.3</v>
      </c>
      <c r="F13" s="17" t="n">
        <f aca="false">RANK(E13,$E$3:$E$63)</f>
        <v>38</v>
      </c>
    </row>
    <row r="14" customFormat="false" ht="12.8" hidden="false" customHeight="false" outlineLevel="0" collapsed="false">
      <c r="A14" s="15" t="str">
        <f aca="false">'Detail Notes S3'!A14</f>
        <v>20150937</v>
      </c>
      <c r="B14" s="15" t="str">
        <f aca="false">'Detail Notes S3'!B14</f>
        <v>DELBREUVE</v>
      </c>
      <c r="C14" s="15" t="str">
        <f aca="false">'Detail Notes S3'!C14</f>
        <v>Benjamin</v>
      </c>
      <c r="D14" s="17" t="str">
        <f aca="false">'Detail Notes S3'!D14</f>
        <v>2-C</v>
      </c>
      <c r="E14" s="31" t="n">
        <f aca="false">RANDBETWEEN(50,200)/10</f>
        <v>12</v>
      </c>
      <c r="F14" s="17" t="n">
        <f aca="false">RANK(E14,$E$3:$E$63)</f>
        <v>27</v>
      </c>
    </row>
    <row r="15" customFormat="false" ht="12.8" hidden="false" customHeight="false" outlineLevel="0" collapsed="false">
      <c r="A15" s="15" t="str">
        <f aca="false">'Detail Notes S3'!A15</f>
        <v>20150938</v>
      </c>
      <c r="B15" s="15" t="str">
        <f aca="false">'Detail Notes S3'!B15</f>
        <v>DEROSNE</v>
      </c>
      <c r="C15" s="15" t="str">
        <f aca="false">'Detail Notes S3'!C15</f>
        <v>Florentin</v>
      </c>
      <c r="D15" s="17" t="str">
        <f aca="false">'Detail Notes S3'!D15</f>
        <v>2-B</v>
      </c>
      <c r="E15" s="31" t="n">
        <f aca="false">RANDBETWEEN(50,200)/10</f>
        <v>15.9</v>
      </c>
      <c r="F15" s="17" t="n">
        <f aca="false">RANK(E15,$E$3:$E$63)</f>
        <v>16</v>
      </c>
    </row>
    <row r="16" customFormat="false" ht="12.8" hidden="false" customHeight="false" outlineLevel="0" collapsed="false">
      <c r="A16" s="15" t="str">
        <f aca="false">'Detail Notes S3'!A16</f>
        <v>20150939</v>
      </c>
      <c r="B16" s="15" t="str">
        <f aca="false">'Detail Notes S3'!B16</f>
        <v>DUHAUT</v>
      </c>
      <c r="C16" s="15" t="str">
        <f aca="false">'Detail Notes S3'!C16</f>
        <v>Thomas</v>
      </c>
      <c r="D16" s="17" t="str">
        <f aca="false">'Detail Notes S3'!D16</f>
        <v>2-A</v>
      </c>
      <c r="E16" s="31" t="n">
        <f aca="false">RANDBETWEEN(50,200)/10</f>
        <v>8.9</v>
      </c>
      <c r="F16" s="17" t="n">
        <f aca="false">RANK(E16,$E$3:$E$63)</f>
        <v>45</v>
      </c>
    </row>
    <row r="17" customFormat="false" ht="12.8" hidden="false" customHeight="false" outlineLevel="0" collapsed="false">
      <c r="A17" s="15" t="str">
        <f aca="false">'Detail Notes S3'!A17</f>
        <v>20150940</v>
      </c>
      <c r="B17" s="15" t="str">
        <f aca="false">'Detail Notes S3'!B17</f>
        <v>DUMETZ</v>
      </c>
      <c r="C17" s="15" t="str">
        <f aca="false">'Detail Notes S3'!C17</f>
        <v>Joffrey</v>
      </c>
      <c r="D17" s="17" t="str">
        <f aca="false">'Detail Notes S3'!D17</f>
        <v>2-C</v>
      </c>
      <c r="E17" s="31" t="n">
        <f aca="false">RANDBETWEEN(50,200)/10</f>
        <v>5.2</v>
      </c>
      <c r="F17" s="17" t="n">
        <f aca="false">RANK(E17,$E$3:$E$63)</f>
        <v>60</v>
      </c>
    </row>
    <row r="18" customFormat="false" ht="12.8" hidden="false" customHeight="false" outlineLevel="0" collapsed="false">
      <c r="A18" s="15" t="str">
        <f aca="false">'Detail Notes S3'!A18</f>
        <v>20150941</v>
      </c>
      <c r="B18" s="15" t="str">
        <f aca="false">'Detail Notes S3'!B18</f>
        <v>FEVRIER</v>
      </c>
      <c r="C18" s="15" t="str">
        <f aca="false">'Detail Notes S3'!C18</f>
        <v>Tennessee</v>
      </c>
      <c r="D18" s="17" t="str">
        <f aca="false">'Detail Notes S3'!D18</f>
        <v>2-C</v>
      </c>
      <c r="E18" s="31" t="n">
        <f aca="false">RANDBETWEEN(50,200)/10</f>
        <v>8.6</v>
      </c>
      <c r="F18" s="17" t="n">
        <f aca="false">RANK(E18,$E$3:$E$63)</f>
        <v>47</v>
      </c>
    </row>
    <row r="19" customFormat="false" ht="12.8" hidden="false" customHeight="false" outlineLevel="0" collapsed="false">
      <c r="A19" s="15" t="str">
        <f aca="false">'Detail Notes S3'!A19</f>
        <v>20150942</v>
      </c>
      <c r="B19" s="15" t="str">
        <f aca="false">'Detail Notes S3'!B19</f>
        <v>FORGET</v>
      </c>
      <c r="C19" s="15" t="str">
        <f aca="false">'Detail Notes S3'!C19</f>
        <v>Kévin</v>
      </c>
      <c r="D19" s="17" t="str">
        <f aca="false">'Detail Notes S3'!D19</f>
        <v>2-B</v>
      </c>
      <c r="E19" s="31" t="n">
        <f aca="false">RANDBETWEEN(50,200)/10</f>
        <v>6.4</v>
      </c>
      <c r="F19" s="17" t="n">
        <f aca="false">RANK(E19,$E$3:$E$63)</f>
        <v>56</v>
      </c>
    </row>
    <row r="20" customFormat="false" ht="12.8" hidden="false" customHeight="false" outlineLevel="0" collapsed="false">
      <c r="A20" s="15" t="str">
        <f aca="false">'Detail Notes S3'!A20</f>
        <v>20150943</v>
      </c>
      <c r="B20" s="15" t="str">
        <f aca="false">'Detail Notes S3'!B20</f>
        <v>FROISSART</v>
      </c>
      <c r="C20" s="15" t="str">
        <f aca="false">'Detail Notes S3'!C20</f>
        <v>Marie</v>
      </c>
      <c r="D20" s="17" t="str">
        <f aca="false">'Detail Notes S3'!D20</f>
        <v>2-B</v>
      </c>
      <c r="E20" s="31" t="n">
        <f aca="false">RANDBETWEEN(50,200)/10</f>
        <v>16</v>
      </c>
      <c r="F20" s="17" t="n">
        <f aca="false">RANK(E20,$E$3:$E$63)</f>
        <v>14</v>
      </c>
    </row>
    <row r="21" customFormat="false" ht="12.8" hidden="false" customHeight="false" outlineLevel="0" collapsed="false">
      <c r="A21" s="15" t="str">
        <f aca="false">'Detail Notes S3'!A21</f>
        <v>20150944</v>
      </c>
      <c r="B21" s="15" t="str">
        <f aca="false">'Detail Notes S3'!B21</f>
        <v>FRUY</v>
      </c>
      <c r="C21" s="15" t="str">
        <f aca="false">'Detail Notes S3'!C21</f>
        <v>Sébastien</v>
      </c>
      <c r="D21" s="17" t="str">
        <f aca="false">'Detail Notes S3'!D21</f>
        <v>2-B</v>
      </c>
      <c r="E21" s="31" t="n">
        <f aca="false">RANDBETWEEN(50,200)/10</f>
        <v>10.2</v>
      </c>
      <c r="F21" s="17" t="n">
        <f aca="false">RANK(E21,$E$3:$E$63)</f>
        <v>39</v>
      </c>
    </row>
    <row r="22" customFormat="false" ht="12.8" hidden="false" customHeight="false" outlineLevel="0" collapsed="false">
      <c r="A22" s="15" t="str">
        <f aca="false">'Detail Notes S3'!A22</f>
        <v>20150945</v>
      </c>
      <c r="B22" s="15" t="str">
        <f aca="false">'Detail Notes S3'!B22</f>
        <v>GEERAERT</v>
      </c>
      <c r="C22" s="15" t="str">
        <f aca="false">'Detail Notes S3'!C22</f>
        <v>Quentin</v>
      </c>
      <c r="D22" s="17" t="str">
        <f aca="false">'Detail Notes S3'!D22</f>
        <v>2-C</v>
      </c>
      <c r="E22" s="31" t="n">
        <f aca="false">RANDBETWEEN(50,200)/10</f>
        <v>8.9</v>
      </c>
      <c r="F22" s="17" t="n">
        <f aca="false">RANK(E22,$E$3:$E$63)</f>
        <v>45</v>
      </c>
    </row>
    <row r="23" customFormat="false" ht="12.8" hidden="false" customHeight="false" outlineLevel="0" collapsed="false">
      <c r="A23" s="15" t="str">
        <f aca="false">'Detail Notes S3'!A23</f>
        <v>20150946</v>
      </c>
      <c r="B23" s="15" t="str">
        <f aca="false">'Detail Notes S3'!B23</f>
        <v>GREMBER</v>
      </c>
      <c r="C23" s="15" t="str">
        <f aca="false">'Detail Notes S3'!C23</f>
        <v>Nicolas</v>
      </c>
      <c r="D23" s="17" t="str">
        <f aca="false">'Detail Notes S3'!D23</f>
        <v>2-A</v>
      </c>
      <c r="E23" s="31" t="n">
        <f aca="false">RANDBETWEEN(50,200)/10</f>
        <v>11.8</v>
      </c>
      <c r="F23" s="17" t="n">
        <f aca="false">RANK(E23,$E$3:$E$63)</f>
        <v>30</v>
      </c>
    </row>
    <row r="24" customFormat="false" ht="12.8" hidden="false" customHeight="false" outlineLevel="0" collapsed="false">
      <c r="A24" s="15" t="str">
        <f aca="false">'Detail Notes S3'!A24</f>
        <v>20150947</v>
      </c>
      <c r="B24" s="15" t="str">
        <f aca="false">'Detail Notes S3'!B24</f>
        <v>HENNAUT</v>
      </c>
      <c r="C24" s="15" t="str">
        <f aca="false">'Detail Notes S3'!C24</f>
        <v>Thibaut</v>
      </c>
      <c r="D24" s="17" t="str">
        <f aca="false">'Detail Notes S3'!D24</f>
        <v>2-A</v>
      </c>
      <c r="E24" s="31" t="n">
        <f aca="false">RANDBETWEEN(50,200)/10</f>
        <v>13.9</v>
      </c>
      <c r="F24" s="17" t="n">
        <f aca="false">RANK(E24,$E$3:$E$63)</f>
        <v>21</v>
      </c>
    </row>
    <row r="25" customFormat="false" ht="12.8" hidden="false" customHeight="false" outlineLevel="0" collapsed="false">
      <c r="A25" s="15" t="str">
        <f aca="false">'Detail Notes S3'!A25</f>
        <v>20150948</v>
      </c>
      <c r="B25" s="15" t="str">
        <f aca="false">'Detail Notes S3'!B25</f>
        <v>KURZAWSKI</v>
      </c>
      <c r="C25" s="15" t="str">
        <f aca="false">'Detail Notes S3'!C25</f>
        <v>Pierre</v>
      </c>
      <c r="D25" s="17" t="str">
        <f aca="false">'Detail Notes S3'!D25</f>
        <v>2-B</v>
      </c>
      <c r="E25" s="31" t="n">
        <f aca="false">RANDBETWEEN(50,200)/10</f>
        <v>7</v>
      </c>
      <c r="F25" s="17" t="n">
        <f aca="false">RANK(E25,$E$3:$E$63)</f>
        <v>54</v>
      </c>
    </row>
    <row r="26" customFormat="false" ht="12.8" hidden="false" customHeight="false" outlineLevel="0" collapsed="false">
      <c r="A26" s="15" t="str">
        <f aca="false">'Detail Notes S3'!A26</f>
        <v>20150949</v>
      </c>
      <c r="B26" s="15" t="str">
        <f aca="false">'Detail Notes S3'!B26</f>
        <v>LAMBERSENS</v>
      </c>
      <c r="C26" s="15" t="str">
        <f aca="false">'Detail Notes S3'!C26</f>
        <v>Adrien</v>
      </c>
      <c r="D26" s="17" t="str">
        <f aca="false">'Detail Notes S3'!D26</f>
        <v>2-B</v>
      </c>
      <c r="E26" s="31" t="n">
        <f aca="false">RANDBETWEEN(50,200)/10</f>
        <v>17.7</v>
      </c>
      <c r="F26" s="17" t="n">
        <f aca="false">RANK(E26,$E$3:$E$63)</f>
        <v>6</v>
      </c>
    </row>
    <row r="27" customFormat="false" ht="12.8" hidden="false" customHeight="false" outlineLevel="0" collapsed="false">
      <c r="A27" s="15" t="str">
        <f aca="false">'Detail Notes S3'!A27</f>
        <v>20150950</v>
      </c>
      <c r="B27" s="15" t="str">
        <f aca="false">'Detail Notes S3'!B27</f>
        <v>LE FOLL</v>
      </c>
      <c r="C27" s="15" t="str">
        <f aca="false">'Detail Notes S3'!C27</f>
        <v>Coralie</v>
      </c>
      <c r="D27" s="17" t="str">
        <f aca="false">'Detail Notes S3'!D27</f>
        <v>2-A</v>
      </c>
      <c r="E27" s="31" t="n">
        <f aca="false">RANDBETWEEN(50,200)/10</f>
        <v>11.6</v>
      </c>
      <c r="F27" s="17" t="n">
        <f aca="false">RANK(E27,$E$3:$E$63)</f>
        <v>31</v>
      </c>
    </row>
    <row r="28" customFormat="false" ht="12.8" hidden="false" customHeight="false" outlineLevel="0" collapsed="false">
      <c r="A28" s="15" t="str">
        <f aca="false">'Detail Notes S3'!A28</f>
        <v>20150951</v>
      </c>
      <c r="B28" s="15" t="str">
        <f aca="false">'Detail Notes S3'!B28</f>
        <v>LECHA</v>
      </c>
      <c r="C28" s="15" t="str">
        <f aca="false">'Detail Notes S3'!C28</f>
        <v>Benjamin</v>
      </c>
      <c r="D28" s="17" t="str">
        <f aca="false">'Detail Notes S3'!D28</f>
        <v>2-C</v>
      </c>
      <c r="E28" s="31" t="n">
        <f aca="false">RANDBETWEEN(50,200)/10</f>
        <v>19.6</v>
      </c>
      <c r="F28" s="17" t="n">
        <f aca="false">RANK(E28,$E$3:$E$63)</f>
        <v>2</v>
      </c>
    </row>
    <row r="29" customFormat="false" ht="12.8" hidden="false" customHeight="false" outlineLevel="0" collapsed="false">
      <c r="A29" s="15" t="str">
        <f aca="false">'Detail Notes S3'!A29</f>
        <v>20150952</v>
      </c>
      <c r="B29" s="15" t="str">
        <f aca="false">'Detail Notes S3'!B29</f>
        <v>LEFAIT</v>
      </c>
      <c r="C29" s="15" t="str">
        <f aca="false">'Detail Notes S3'!C29</f>
        <v>Romain</v>
      </c>
      <c r="D29" s="17" t="str">
        <f aca="false">'Detail Notes S3'!D29</f>
        <v>2-B</v>
      </c>
      <c r="E29" s="31" t="n">
        <f aca="false">RANDBETWEEN(50,200)/10</f>
        <v>19.3</v>
      </c>
      <c r="F29" s="17" t="n">
        <f aca="false">RANK(E29,$E$3:$E$63)</f>
        <v>4</v>
      </c>
    </row>
    <row r="30" customFormat="false" ht="12.8" hidden="false" customHeight="false" outlineLevel="0" collapsed="false">
      <c r="A30" s="15" t="str">
        <f aca="false">'Detail Notes S3'!A30</f>
        <v>20150953</v>
      </c>
      <c r="B30" s="15" t="str">
        <f aca="false">'Detail Notes S3'!B30</f>
        <v>LEFEBVRE</v>
      </c>
      <c r="C30" s="15" t="str">
        <f aca="false">'Detail Notes S3'!C30</f>
        <v>Jéremy</v>
      </c>
      <c r="D30" s="17" t="str">
        <f aca="false">'Detail Notes S3'!D30</f>
        <v>2-B</v>
      </c>
      <c r="E30" s="31" t="n">
        <f aca="false">RANDBETWEEN(50,200)/10</f>
        <v>15.7</v>
      </c>
      <c r="F30" s="17" t="n">
        <f aca="false">RANK(E30,$E$3:$E$63)</f>
        <v>18</v>
      </c>
    </row>
    <row r="31" customFormat="false" ht="12.8" hidden="false" customHeight="false" outlineLevel="0" collapsed="false">
      <c r="A31" s="15" t="str">
        <f aca="false">'Detail Notes S3'!A31</f>
        <v>20150954</v>
      </c>
      <c r="B31" s="15" t="str">
        <f aca="false">'Detail Notes S3'!B31</f>
        <v>LEFEBVRE</v>
      </c>
      <c r="C31" s="15" t="str">
        <f aca="false">'Detail Notes S3'!C31</f>
        <v>Kévin</v>
      </c>
      <c r="D31" s="17" t="str">
        <f aca="false">'Detail Notes S3'!D31</f>
        <v>2-A</v>
      </c>
      <c r="E31" s="31" t="n">
        <f aca="false">RANDBETWEEN(50,200)/10</f>
        <v>18.5</v>
      </c>
      <c r="F31" s="17" t="n">
        <f aca="false">RANK(E31,$E$3:$E$63)</f>
        <v>5</v>
      </c>
    </row>
    <row r="32" customFormat="false" ht="12.8" hidden="false" customHeight="false" outlineLevel="0" collapsed="false">
      <c r="A32" s="15" t="str">
        <f aca="false">'Detail Notes S3'!A32</f>
        <v>20150955</v>
      </c>
      <c r="B32" s="15" t="str">
        <f aca="false">'Detail Notes S3'!B32</f>
        <v>LEGRAND</v>
      </c>
      <c r="C32" s="15" t="str">
        <f aca="false">'Detail Notes S3'!C32</f>
        <v>Baptiste</v>
      </c>
      <c r="D32" s="17" t="str">
        <f aca="false">'Detail Notes S3'!D32</f>
        <v>2-C</v>
      </c>
      <c r="E32" s="31" t="n">
        <f aca="false">RANDBETWEEN(50,200)/10</f>
        <v>7.5</v>
      </c>
      <c r="F32" s="17" t="n">
        <f aca="false">RANK(E32,$E$3:$E$63)</f>
        <v>51</v>
      </c>
    </row>
    <row r="33" customFormat="false" ht="12.8" hidden="false" customHeight="false" outlineLevel="0" collapsed="false">
      <c r="A33" s="15" t="str">
        <f aca="false">'Detail Notes S3'!A33</f>
        <v>20150956</v>
      </c>
      <c r="B33" s="15" t="str">
        <f aca="false">'Detail Notes S3'!B33</f>
        <v>LEGRU</v>
      </c>
      <c r="C33" s="15" t="str">
        <f aca="false">'Detail Notes S3'!C33</f>
        <v>Florent</v>
      </c>
      <c r="D33" s="17" t="str">
        <f aca="false">'Detail Notes S3'!D33</f>
        <v>2-B</v>
      </c>
      <c r="E33" s="31" t="n">
        <f aca="false">RANDBETWEEN(50,200)/10</f>
        <v>16.9</v>
      </c>
      <c r="F33" s="17" t="n">
        <f aca="false">RANK(E33,$E$3:$E$63)</f>
        <v>9</v>
      </c>
    </row>
    <row r="34" customFormat="false" ht="12.8" hidden="false" customHeight="false" outlineLevel="0" collapsed="false">
      <c r="A34" s="15" t="str">
        <f aca="false">'Detail Notes S3'!A34</f>
        <v>20150957</v>
      </c>
      <c r="B34" s="15" t="str">
        <f aca="false">'Detail Notes S3'!B34</f>
        <v>LEMAITRE</v>
      </c>
      <c r="C34" s="15" t="str">
        <f aca="false">'Detail Notes S3'!C34</f>
        <v>Valentin</v>
      </c>
      <c r="D34" s="17" t="str">
        <f aca="false">'Detail Notes S3'!D34</f>
        <v>2-C</v>
      </c>
      <c r="E34" s="31" t="n">
        <f aca="false">RANDBETWEEN(50,200)/10</f>
        <v>7.9</v>
      </c>
      <c r="F34" s="17" t="n">
        <f aca="false">RANK(E34,$E$3:$E$63)</f>
        <v>49</v>
      </c>
    </row>
    <row r="35" customFormat="false" ht="12.8" hidden="false" customHeight="false" outlineLevel="0" collapsed="false">
      <c r="A35" s="15" t="str">
        <f aca="false">'Detail Notes S3'!A35</f>
        <v>20150958</v>
      </c>
      <c r="B35" s="15" t="str">
        <f aca="false">'Detail Notes S3'!B35</f>
        <v>LESAFFRE</v>
      </c>
      <c r="C35" s="15" t="str">
        <f aca="false">'Detail Notes S3'!C35</f>
        <v>Romain</v>
      </c>
      <c r="D35" s="17" t="str">
        <f aca="false">'Detail Notes S3'!D35</f>
        <v>2-A</v>
      </c>
      <c r="E35" s="31" t="n">
        <f aca="false">RANDBETWEEN(50,200)/10</f>
        <v>11.1</v>
      </c>
      <c r="F35" s="17" t="n">
        <f aca="false">RANK(E35,$E$3:$E$63)</f>
        <v>35</v>
      </c>
    </row>
    <row r="36" customFormat="false" ht="12.8" hidden="false" customHeight="false" outlineLevel="0" collapsed="false">
      <c r="A36" s="15" t="str">
        <f aca="false">'Detail Notes S3'!A36</f>
        <v>20150959</v>
      </c>
      <c r="B36" s="15" t="str">
        <f aca="false">'Detail Notes S3'!B36</f>
        <v>LETERTRE</v>
      </c>
      <c r="C36" s="15" t="str">
        <f aca="false">'Detail Notes S3'!C36</f>
        <v>Florian</v>
      </c>
      <c r="D36" s="17" t="str">
        <f aca="false">'Detail Notes S3'!D36</f>
        <v>2-C</v>
      </c>
      <c r="E36" s="31" t="n">
        <f aca="false">RANDBETWEEN(50,200)/10</f>
        <v>11.3</v>
      </c>
      <c r="F36" s="17" t="n">
        <f aca="false">RANK(E36,$E$3:$E$63)</f>
        <v>32</v>
      </c>
    </row>
    <row r="37" customFormat="false" ht="12.8" hidden="false" customHeight="false" outlineLevel="0" collapsed="false">
      <c r="A37" s="15" t="str">
        <f aca="false">'Detail Notes S3'!A37</f>
        <v>20150960</v>
      </c>
      <c r="B37" s="15" t="str">
        <f aca="false">'Detail Notes S3'!B37</f>
        <v>LONGOUR</v>
      </c>
      <c r="C37" s="15" t="str">
        <f aca="false">'Detail Notes S3'!C37</f>
        <v>David</v>
      </c>
      <c r="D37" s="17" t="str">
        <f aca="false">'Detail Notes S3'!D37</f>
        <v>2-A</v>
      </c>
      <c r="E37" s="31" t="n">
        <f aca="false">RANDBETWEEN(50,200)/10</f>
        <v>9.1</v>
      </c>
      <c r="F37" s="17" t="n">
        <f aca="false">RANK(E37,$E$3:$E$63)</f>
        <v>41</v>
      </c>
    </row>
    <row r="38" customFormat="false" ht="12.8" hidden="false" customHeight="false" outlineLevel="0" collapsed="false">
      <c r="A38" s="15" t="str">
        <f aca="false">'Detail Notes S3'!A38</f>
        <v>20150961</v>
      </c>
      <c r="B38" s="15" t="str">
        <f aca="false">'Detail Notes S3'!B38</f>
        <v>LOOPE</v>
      </c>
      <c r="C38" s="15" t="str">
        <f aca="false">'Detail Notes S3'!C38</f>
        <v>Giovanni</v>
      </c>
      <c r="D38" s="17" t="str">
        <f aca="false">'Detail Notes S3'!D38</f>
        <v>2-A</v>
      </c>
      <c r="E38" s="31" t="n">
        <f aca="false">RANDBETWEEN(50,200)/10</f>
        <v>7.2</v>
      </c>
      <c r="F38" s="17" t="n">
        <f aca="false">RANK(E38,$E$3:$E$63)</f>
        <v>53</v>
      </c>
    </row>
    <row r="39" customFormat="false" ht="12.8" hidden="false" customHeight="false" outlineLevel="0" collapsed="false">
      <c r="A39" s="15" t="str">
        <f aca="false">'Detail Notes S3'!A39</f>
        <v>20150962</v>
      </c>
      <c r="B39" s="15" t="str">
        <f aca="false">'Detail Notes S3'!B39</f>
        <v>MAERTEN</v>
      </c>
      <c r="C39" s="15" t="str">
        <f aca="false">'Detail Notes S3'!C39</f>
        <v>Nicolas</v>
      </c>
      <c r="D39" s="17" t="str">
        <f aca="false">'Detail Notes S3'!D39</f>
        <v>2-A</v>
      </c>
      <c r="E39" s="31" t="n">
        <f aca="false">RANDBETWEEN(50,200)/10</f>
        <v>10.9</v>
      </c>
      <c r="F39" s="17" t="n">
        <f aca="false">RANK(E39,$E$3:$E$63)</f>
        <v>36</v>
      </c>
    </row>
    <row r="40" customFormat="false" ht="12.8" hidden="false" customHeight="false" outlineLevel="0" collapsed="false">
      <c r="A40" s="15" t="str">
        <f aca="false">'Detail Notes S3'!A40</f>
        <v>20150963</v>
      </c>
      <c r="B40" s="15" t="str">
        <f aca="false">'Detail Notes S3'!B40</f>
        <v>MAILLOT</v>
      </c>
      <c r="C40" s="15" t="str">
        <f aca="false">'Detail Notes S3'!C40</f>
        <v>Maxime</v>
      </c>
      <c r="D40" s="17" t="str">
        <f aca="false">'Detail Notes S3'!D40</f>
        <v>2-B</v>
      </c>
      <c r="E40" s="31" t="n">
        <f aca="false">RANDBETWEEN(50,200)/10</f>
        <v>9</v>
      </c>
      <c r="F40" s="17" t="n">
        <f aca="false">RANK(E40,$E$3:$E$63)</f>
        <v>43</v>
      </c>
    </row>
    <row r="41" customFormat="false" ht="12.8" hidden="false" customHeight="false" outlineLevel="0" collapsed="false">
      <c r="A41" s="15" t="str">
        <f aca="false">'Detail Notes S3'!A41</f>
        <v>20150964</v>
      </c>
      <c r="B41" s="15" t="str">
        <f aca="false">'Detail Notes S3'!B41</f>
        <v>MARIE</v>
      </c>
      <c r="C41" s="15" t="str">
        <f aca="false">'Detail Notes S3'!C41</f>
        <v>Louis</v>
      </c>
      <c r="D41" s="17" t="str">
        <f aca="false">'Detail Notes S3'!D41</f>
        <v>2-A</v>
      </c>
      <c r="E41" s="31" t="n">
        <f aca="false">RANDBETWEEN(50,200)/10</f>
        <v>16.1</v>
      </c>
      <c r="F41" s="17" t="n">
        <f aca="false">RANK(E41,$E$3:$E$63)</f>
        <v>13</v>
      </c>
    </row>
    <row r="42" customFormat="false" ht="12.8" hidden="false" customHeight="false" outlineLevel="0" collapsed="false">
      <c r="A42" s="15" t="str">
        <f aca="false">'Detail Notes S3'!A42</f>
        <v>20150965</v>
      </c>
      <c r="B42" s="15" t="str">
        <f aca="false">'Detail Notes S3'!B42</f>
        <v>MARTIN</v>
      </c>
      <c r="C42" s="15" t="str">
        <f aca="false">'Detail Notes S3'!C42</f>
        <v>Alexandre</v>
      </c>
      <c r="D42" s="17" t="str">
        <f aca="false">'Detail Notes S3'!D42</f>
        <v>2-C</v>
      </c>
      <c r="E42" s="31" t="n">
        <f aca="false">RANDBETWEEN(50,200)/10</f>
        <v>16.8</v>
      </c>
      <c r="F42" s="17" t="n">
        <f aca="false">RANK(E42,$E$3:$E$63)</f>
        <v>10</v>
      </c>
    </row>
    <row r="43" customFormat="false" ht="12.8" hidden="false" customHeight="false" outlineLevel="0" collapsed="false">
      <c r="A43" s="15" t="str">
        <f aca="false">'Detail Notes S3'!A43</f>
        <v>20150966</v>
      </c>
      <c r="B43" s="15" t="str">
        <f aca="false">'Detail Notes S3'!B43</f>
        <v>MASSELOT</v>
      </c>
      <c r="C43" s="15" t="str">
        <f aca="false">'Detail Notes S3'!C43</f>
        <v>Romain</v>
      </c>
      <c r="D43" s="17" t="str">
        <f aca="false">'Detail Notes S3'!D43</f>
        <v>2-A</v>
      </c>
      <c r="E43" s="31" t="n">
        <f aca="false">RANDBETWEEN(50,200)/10</f>
        <v>10.7</v>
      </c>
      <c r="F43" s="17" t="n">
        <f aca="false">RANK(E43,$E$3:$E$63)</f>
        <v>37</v>
      </c>
    </row>
    <row r="44" customFormat="false" ht="12.8" hidden="false" customHeight="false" outlineLevel="0" collapsed="false">
      <c r="A44" s="15" t="str">
        <f aca="false">'Detail Notes S3'!A44</f>
        <v>20150967</v>
      </c>
      <c r="B44" s="15" t="str">
        <f aca="false">'Detail Notes S3'!B44</f>
        <v>MERLIN</v>
      </c>
      <c r="C44" s="15" t="str">
        <f aca="false">'Detail Notes S3'!C44</f>
        <v>Anthony</v>
      </c>
      <c r="D44" s="17" t="str">
        <f aca="false">'Detail Notes S3'!D44</f>
        <v>2-A</v>
      </c>
      <c r="E44" s="31" t="n">
        <f aca="false">RANDBETWEEN(50,200)/10</f>
        <v>12</v>
      </c>
      <c r="F44" s="17" t="n">
        <f aca="false">RANK(E44,$E$3:$E$63)</f>
        <v>27</v>
      </c>
    </row>
    <row r="45" customFormat="false" ht="12.8" hidden="false" customHeight="false" outlineLevel="0" collapsed="false">
      <c r="A45" s="15" t="str">
        <f aca="false">'Detail Notes S3'!A45</f>
        <v>20150968</v>
      </c>
      <c r="B45" s="15" t="str">
        <f aca="false">'Detail Notes S3'!B45</f>
        <v>PETIT</v>
      </c>
      <c r="C45" s="15" t="str">
        <f aca="false">'Detail Notes S3'!C45</f>
        <v>Chloe</v>
      </c>
      <c r="D45" s="17" t="str">
        <f aca="false">'Detail Notes S3'!D45</f>
        <v>2-C</v>
      </c>
      <c r="E45" s="31" t="n">
        <f aca="false">RANDBETWEEN(50,200)/10</f>
        <v>15</v>
      </c>
      <c r="F45" s="17" t="n">
        <f aca="false">RANK(E45,$E$3:$E$63)</f>
        <v>20</v>
      </c>
    </row>
    <row r="46" customFormat="false" ht="12.8" hidden="false" customHeight="false" outlineLevel="0" collapsed="false">
      <c r="A46" s="15" t="str">
        <f aca="false">'Detail Notes S3'!A46</f>
        <v>20150969</v>
      </c>
      <c r="B46" s="15" t="str">
        <f aca="false">'Detail Notes S3'!B46</f>
        <v>POLAN</v>
      </c>
      <c r="C46" s="15" t="str">
        <f aca="false">'Detail Notes S3'!C46</f>
        <v>Geoffrey</v>
      </c>
      <c r="D46" s="17" t="str">
        <f aca="false">'Detail Notes S3'!D46</f>
        <v>2-A</v>
      </c>
      <c r="E46" s="31" t="n">
        <f aca="false">RANDBETWEEN(50,200)/10</f>
        <v>9</v>
      </c>
      <c r="F46" s="17" t="n">
        <f aca="false">RANK(E46,$E$3:$E$63)</f>
        <v>43</v>
      </c>
    </row>
    <row r="47" customFormat="false" ht="12.8" hidden="false" customHeight="false" outlineLevel="0" collapsed="false">
      <c r="A47" s="15" t="str">
        <f aca="false">'Detail Notes S3'!A47</f>
        <v>20150970</v>
      </c>
      <c r="B47" s="15" t="str">
        <f aca="false">'Detail Notes S3'!B47</f>
        <v>POUILLY</v>
      </c>
      <c r="C47" s="15" t="str">
        <f aca="false">'Detail Notes S3'!C47</f>
        <v>Gaetan</v>
      </c>
      <c r="D47" s="17" t="str">
        <f aca="false">'Detail Notes S3'!D47</f>
        <v>2-B</v>
      </c>
      <c r="E47" s="31" t="n">
        <f aca="false">RANDBETWEEN(50,200)/10</f>
        <v>11.2</v>
      </c>
      <c r="F47" s="17" t="n">
        <f aca="false">RANK(E47,$E$3:$E$63)</f>
        <v>34</v>
      </c>
    </row>
    <row r="48" customFormat="false" ht="12.8" hidden="false" customHeight="false" outlineLevel="0" collapsed="false">
      <c r="A48" s="15" t="str">
        <f aca="false">'Detail Notes S3'!A48</f>
        <v>20150971</v>
      </c>
      <c r="B48" s="15" t="str">
        <f aca="false">'Detail Notes S3'!B48</f>
        <v>ROLAND</v>
      </c>
      <c r="C48" s="15" t="str">
        <f aca="false">'Detail Notes S3'!C48</f>
        <v>Jeremie</v>
      </c>
      <c r="D48" s="17" t="str">
        <f aca="false">'Detail Notes S3'!D48</f>
        <v>2-C</v>
      </c>
      <c r="E48" s="31" t="n">
        <f aca="false">RANDBETWEEN(50,200)/10</f>
        <v>19.6</v>
      </c>
      <c r="F48" s="17" t="n">
        <f aca="false">RANK(E48,$E$3:$E$63)</f>
        <v>2</v>
      </c>
    </row>
    <row r="49" customFormat="false" ht="12.8" hidden="false" customHeight="false" outlineLevel="0" collapsed="false">
      <c r="A49" s="15" t="str">
        <f aca="false">'Detail Notes S3'!A49</f>
        <v>20150972</v>
      </c>
      <c r="B49" s="15" t="str">
        <f aca="false">'Detail Notes S3'!B49</f>
        <v>ROTTIERS</v>
      </c>
      <c r="C49" s="15" t="str">
        <f aca="false">'Detail Notes S3'!C49</f>
        <v>Theo</v>
      </c>
      <c r="D49" s="17" t="str">
        <f aca="false">'Detail Notes S3'!D49</f>
        <v>2-B</v>
      </c>
      <c r="E49" s="31" t="n">
        <f aca="false">RANDBETWEEN(50,200)/10</f>
        <v>15.4</v>
      </c>
      <c r="F49" s="17" t="n">
        <f aca="false">RANK(E49,$E$3:$E$63)</f>
        <v>19</v>
      </c>
    </row>
    <row r="50" customFormat="false" ht="12.8" hidden="false" customHeight="false" outlineLevel="0" collapsed="false">
      <c r="A50" s="15" t="str">
        <f aca="false">'Detail Notes S3'!A50</f>
        <v>20150973</v>
      </c>
      <c r="B50" s="15" t="str">
        <f aca="false">'Detail Notes S3'!B50</f>
        <v>SACRE</v>
      </c>
      <c r="C50" s="15" t="str">
        <f aca="false">'Detail Notes S3'!C50</f>
        <v>Pierre</v>
      </c>
      <c r="D50" s="17" t="str">
        <f aca="false">'Detail Notes S3'!D50</f>
        <v>2-B</v>
      </c>
      <c r="E50" s="31" t="n">
        <f aca="false">RANDBETWEEN(50,200)/10</f>
        <v>9.1</v>
      </c>
      <c r="F50" s="17" t="n">
        <f aca="false">RANK(E50,$E$3:$E$63)</f>
        <v>41</v>
      </c>
    </row>
    <row r="51" customFormat="false" ht="12.8" hidden="false" customHeight="false" outlineLevel="0" collapsed="false">
      <c r="A51" s="15" t="str">
        <f aca="false">'Detail Notes S3'!A51</f>
        <v>20150974</v>
      </c>
      <c r="B51" s="15" t="str">
        <f aca="false">'Detail Notes S3'!B51</f>
        <v>SCHILLER</v>
      </c>
      <c r="C51" s="15" t="str">
        <f aca="false">'Detail Notes S3'!C51</f>
        <v>Dylan</v>
      </c>
      <c r="D51" s="17" t="str">
        <f aca="false">'Detail Notes S3'!D51</f>
        <v>2-C</v>
      </c>
      <c r="E51" s="31" t="n">
        <f aca="false">RANDBETWEEN(50,200)/10</f>
        <v>7</v>
      </c>
      <c r="F51" s="17" t="n">
        <f aca="false">RANK(E51,$E$3:$E$63)</f>
        <v>54</v>
      </c>
    </row>
    <row r="52" customFormat="false" ht="12.8" hidden="false" customHeight="false" outlineLevel="0" collapsed="false">
      <c r="A52" s="15" t="str">
        <f aca="false">'Detail Notes S3'!A52</f>
        <v>20150975</v>
      </c>
      <c r="B52" s="15" t="str">
        <f aca="false">'Detail Notes S3'!B52</f>
        <v>SURET</v>
      </c>
      <c r="C52" s="15" t="str">
        <f aca="false">'Detail Notes S3'!C52</f>
        <v>Kévin</v>
      </c>
      <c r="D52" s="17" t="str">
        <f aca="false">'Detail Notes S3'!D52</f>
        <v>2-A</v>
      </c>
      <c r="E52" s="31" t="n">
        <f aca="false">RANDBETWEEN(50,200)/10</f>
        <v>5.5</v>
      </c>
      <c r="F52" s="17" t="n">
        <f aca="false">RANK(E52,$E$3:$E$63)</f>
        <v>58</v>
      </c>
    </row>
    <row r="53" customFormat="false" ht="12.8" hidden="false" customHeight="false" outlineLevel="0" collapsed="false">
      <c r="A53" s="15" t="str">
        <f aca="false">'Detail Notes S3'!A53</f>
        <v>20150976</v>
      </c>
      <c r="B53" s="15" t="str">
        <f aca="false">'Detail Notes S3'!B53</f>
        <v>SZKARADEK</v>
      </c>
      <c r="C53" s="15" t="str">
        <f aca="false">'Detail Notes S3'!C53</f>
        <v>Thibaud</v>
      </c>
      <c r="D53" s="17" t="str">
        <f aca="false">'Detail Notes S3'!D53</f>
        <v>2-B</v>
      </c>
      <c r="E53" s="31" t="n">
        <f aca="false">RANDBETWEEN(50,200)/10</f>
        <v>13.9</v>
      </c>
      <c r="F53" s="17" t="n">
        <f aca="false">RANK(E53,$E$3:$E$63)</f>
        <v>21</v>
      </c>
    </row>
    <row r="54" customFormat="false" ht="12.8" hidden="false" customHeight="false" outlineLevel="0" collapsed="false">
      <c r="A54" s="15" t="str">
        <f aca="false">'Detail Notes S3'!A54</f>
        <v>20150977</v>
      </c>
      <c r="B54" s="15" t="str">
        <f aca="false">'Detail Notes S3'!B54</f>
        <v>SZYMURA</v>
      </c>
      <c r="C54" s="15" t="str">
        <f aca="false">'Detail Notes S3'!C54</f>
        <v>Alexandre</v>
      </c>
      <c r="D54" s="17" t="str">
        <f aca="false">'Detail Notes S3'!D54</f>
        <v>2-C</v>
      </c>
      <c r="E54" s="31" t="n">
        <f aca="false">RANDBETWEEN(50,200)/10</f>
        <v>7.7</v>
      </c>
      <c r="F54" s="17" t="n">
        <f aca="false">RANK(E54,$E$3:$E$63)</f>
        <v>50</v>
      </c>
    </row>
    <row r="55" customFormat="false" ht="12.8" hidden="false" customHeight="false" outlineLevel="0" collapsed="false">
      <c r="A55" s="15" t="str">
        <f aca="false">'Detail Notes S3'!A55</f>
        <v>20150978</v>
      </c>
      <c r="B55" s="15" t="str">
        <f aca="false">'Detail Notes S3'!B55</f>
        <v>TANG</v>
      </c>
      <c r="C55" s="15" t="str">
        <f aca="false">'Detail Notes S3'!C55</f>
        <v>Frédéric</v>
      </c>
      <c r="D55" s="17" t="str">
        <f aca="false">'Detail Notes S3'!D55</f>
        <v>2-C</v>
      </c>
      <c r="E55" s="31" t="n">
        <f aca="false">RANDBETWEEN(50,200)/10</f>
        <v>10</v>
      </c>
      <c r="F55" s="17" t="n">
        <f aca="false">RANK(E55,$E$3:$E$63)</f>
        <v>40</v>
      </c>
    </row>
    <row r="56" customFormat="false" ht="12.8" hidden="false" customHeight="false" outlineLevel="0" collapsed="false">
      <c r="A56" s="15" t="str">
        <f aca="false">'Detail Notes S3'!A56</f>
        <v>20150979</v>
      </c>
      <c r="B56" s="15" t="str">
        <f aca="false">'Detail Notes S3'!B56</f>
        <v>TASSART</v>
      </c>
      <c r="C56" s="15" t="str">
        <f aca="false">'Detail Notes S3'!C56</f>
        <v>Alexandre</v>
      </c>
      <c r="D56" s="17" t="str">
        <f aca="false">'Detail Notes S3'!D56</f>
        <v>2-B</v>
      </c>
      <c r="E56" s="31" t="n">
        <f aca="false">RANDBETWEEN(50,200)/10</f>
        <v>16.4</v>
      </c>
      <c r="F56" s="17" t="n">
        <f aca="false">RANK(E56,$E$3:$E$63)</f>
        <v>12</v>
      </c>
    </row>
    <row r="57" customFormat="false" ht="12.8" hidden="false" customHeight="false" outlineLevel="0" collapsed="false">
      <c r="A57" s="15" t="str">
        <f aca="false">'Detail Notes S3'!A57</f>
        <v>20150980</v>
      </c>
      <c r="B57" s="15" t="str">
        <f aca="false">'Detail Notes S3'!B57</f>
        <v>THERAGE</v>
      </c>
      <c r="C57" s="15" t="str">
        <f aca="false">'Detail Notes S3'!C57</f>
        <v>Lucas</v>
      </c>
      <c r="D57" s="17" t="str">
        <f aca="false">'Detail Notes S3'!D57</f>
        <v>2-A</v>
      </c>
      <c r="E57" s="31" t="n">
        <f aca="false">RANDBETWEEN(50,200)/10</f>
        <v>12.3</v>
      </c>
      <c r="F57" s="17" t="n">
        <f aca="false">RANK(E57,$E$3:$E$63)</f>
        <v>23</v>
      </c>
    </row>
    <row r="58" customFormat="false" ht="12.8" hidden="false" customHeight="false" outlineLevel="0" collapsed="false">
      <c r="A58" s="15" t="str">
        <f aca="false">'Detail Notes S3'!A58</f>
        <v>20150981</v>
      </c>
      <c r="B58" s="15" t="str">
        <f aca="false">'Detail Notes S3'!B58</f>
        <v>THOMAS</v>
      </c>
      <c r="C58" s="15" t="str">
        <f aca="false">'Detail Notes S3'!C58</f>
        <v>Louis</v>
      </c>
      <c r="D58" s="17" t="str">
        <f aca="false">'Detail Notes S3'!D58</f>
        <v>2-B</v>
      </c>
      <c r="E58" s="31" t="n">
        <f aca="false">RANDBETWEEN(50,200)/10</f>
        <v>20</v>
      </c>
      <c r="F58" s="17" t="n">
        <f aca="false">RANK(E58,$E$3:$E$63)</f>
        <v>1</v>
      </c>
    </row>
    <row r="59" customFormat="false" ht="12.8" hidden="false" customHeight="false" outlineLevel="0" collapsed="false">
      <c r="A59" s="15" t="str">
        <f aca="false">'Detail Notes S3'!A59</f>
        <v>20150982</v>
      </c>
      <c r="B59" s="15" t="str">
        <f aca="false">'Detail Notes S3'!B59</f>
        <v>VANDEWOORDE</v>
      </c>
      <c r="C59" s="15" t="str">
        <f aca="false">'Detail Notes S3'!C59</f>
        <v>Aymeric</v>
      </c>
      <c r="D59" s="17" t="str">
        <f aca="false">'Detail Notes S3'!D59</f>
        <v>2-B</v>
      </c>
      <c r="E59" s="31" t="n">
        <f aca="false">RANDBETWEEN(50,200)/10</f>
        <v>16.8</v>
      </c>
      <c r="F59" s="17" t="n">
        <f aca="false">RANK(E59,$E$3:$E$63)</f>
        <v>10</v>
      </c>
    </row>
    <row r="60" customFormat="false" ht="12.8" hidden="false" customHeight="false" outlineLevel="0" collapsed="false">
      <c r="A60" s="15" t="str">
        <f aca="false">'Detail Notes S3'!A60</f>
        <v>20150983</v>
      </c>
      <c r="B60" s="15" t="str">
        <f aca="false">'Detail Notes S3'!B60</f>
        <v>VANROY</v>
      </c>
      <c r="C60" s="15" t="str">
        <f aca="false">'Detail Notes S3'!C60</f>
        <v>Julien</v>
      </c>
      <c r="D60" s="17" t="str">
        <f aca="false">'Detail Notes S3'!D60</f>
        <v>2-A</v>
      </c>
      <c r="E60" s="31" t="n">
        <f aca="false">RANDBETWEEN(50,200)/10</f>
        <v>17.7</v>
      </c>
      <c r="F60" s="17" t="n">
        <f aca="false">RANK(E60,$E$3:$E$63)</f>
        <v>6</v>
      </c>
    </row>
    <row r="61" customFormat="false" ht="12.8" hidden="false" customHeight="false" outlineLevel="0" collapsed="false">
      <c r="A61" s="15" t="str">
        <f aca="false">'Detail Notes S3'!A61</f>
        <v>20150984</v>
      </c>
      <c r="B61" s="15" t="str">
        <f aca="false">'Detail Notes S3'!B61</f>
        <v>VELLA</v>
      </c>
      <c r="C61" s="15" t="str">
        <f aca="false">'Detail Notes S3'!C61</f>
        <v>Emanuele</v>
      </c>
      <c r="D61" s="17" t="str">
        <f aca="false">'Detail Notes S3'!D61</f>
        <v>2-C</v>
      </c>
      <c r="E61" s="31" t="n">
        <f aca="false">RANDBETWEEN(50,200)/10</f>
        <v>11.9</v>
      </c>
      <c r="F61" s="17" t="n">
        <f aca="false">RANK(E61,$E$3:$E$63)</f>
        <v>29</v>
      </c>
    </row>
    <row r="62" customFormat="false" ht="12.8" hidden="false" customHeight="false" outlineLevel="0" collapsed="false">
      <c r="A62" s="15" t="str">
        <f aca="false">'Detail Notes S3'!A62</f>
        <v>20150985</v>
      </c>
      <c r="B62" s="15" t="str">
        <f aca="false">'Detail Notes S3'!B62</f>
        <v>VERPOEST</v>
      </c>
      <c r="C62" s="15" t="str">
        <f aca="false">'Detail Notes S3'!C62</f>
        <v>Sylvain</v>
      </c>
      <c r="D62" s="17" t="str">
        <f aca="false">'Detail Notes S3'!D62</f>
        <v>2-A</v>
      </c>
      <c r="E62" s="31" t="n">
        <f aca="false">RANDBETWEEN(50,200)/10</f>
        <v>12.1</v>
      </c>
      <c r="F62" s="17" t="n">
        <f aca="false">RANK(E62,$E$3:$E$63)</f>
        <v>26</v>
      </c>
    </row>
    <row r="63" customFormat="false" ht="12.8" hidden="false" customHeight="false" outlineLevel="0" collapsed="false">
      <c r="A63" s="15" t="str">
        <f aca="false">'Detail Notes S3'!A63</f>
        <v>20150986</v>
      </c>
      <c r="B63" s="15" t="str">
        <f aca="false">'Detail Notes S3'!B63</f>
        <v>WICART</v>
      </c>
      <c r="C63" s="15" t="str">
        <f aca="false">'Detail Notes S3'!C63</f>
        <v>Melvin</v>
      </c>
      <c r="D63" s="17" t="str">
        <f aca="false">'Detail Notes S3'!D63</f>
        <v>2-B</v>
      </c>
      <c r="E63" s="31" t="n">
        <f aca="false">RANDBETWEEN(50,200)/10</f>
        <v>5</v>
      </c>
      <c r="F63" s="17" t="n">
        <f aca="false">RANK(E63,$E$3:$E$63)</f>
        <v>61</v>
      </c>
    </row>
    <row r="64" customFormat="false" ht="12.8" hidden="false" customHeight="false" outlineLevel="0" collapsed="false">
      <c r="A64" s="0" t="str">
        <f aca="false">'Detail Notes S3'!A64</f>
        <v>xxxxxxxxx</v>
      </c>
      <c r="C64" s="0" t="str">
        <f aca="false">'Detail Notes S3'!C64</f>
        <v>Moyenne</v>
      </c>
    </row>
    <row r="67" customFormat="false" ht="12.8" hidden="false" customHeight="false" outlineLevel="0" collapsed="false">
      <c r="A67" s="15" t="str">
        <f aca="false">'Detail Notes S3'!A67</f>
        <v>Département</v>
      </c>
      <c r="B67" s="33" t="str">
        <f aca="false">'Detail Notes S3'!B67</f>
        <v>INFO</v>
      </c>
    </row>
    <row r="68" customFormat="false" ht="12.8" hidden="false" customHeight="false" outlineLevel="0" collapsed="false">
      <c r="A68" s="15" t="str">
        <f aca="false">'Detail Notes S3'!A68</f>
        <v>Année</v>
      </c>
      <c r="B68" s="33" t="str">
        <f aca="false">'Detail Notes S3'!B68</f>
        <v>INFO2</v>
      </c>
    </row>
    <row r="69" customFormat="false" ht="12.8" hidden="false" customHeight="false" outlineLevel="0" collapsed="false">
      <c r="A69" s="15" t="str">
        <f aca="false">'Detail Notes S3'!A69</f>
        <v>Date début</v>
      </c>
      <c r="B69" s="50" t="n">
        <f aca="false">'Detail Notes S3'!B69</f>
        <v>42614</v>
      </c>
    </row>
    <row r="70" customFormat="false" ht="12.8" hidden="false" customHeight="false" outlineLevel="0" collapsed="false">
      <c r="A70" s="15" t="str">
        <f aca="false">'Detail Notes S3'!A70</f>
        <v>Date de fin </v>
      </c>
      <c r="B70" s="50" t="n">
        <v>42735</v>
      </c>
    </row>
    <row r="71" customFormat="false" ht="12.8" hidden="false" customHeight="false" outlineLevel="0" collapsed="false">
      <c r="A71" s="15" t="str">
        <f aca="false">'Detail Notes S3'!A71</f>
        <v>Semestre</v>
      </c>
      <c r="B71" s="33" t="str">
        <f aca="false">'Detail Notes S3'!B71</f>
        <v>S3</v>
      </c>
    </row>
    <row r="72" customFormat="false" ht="12.8" hidden="false" customHeight="false" outlineLevel="0" collapsed="false">
      <c r="A72" s="15" t="s">
        <v>314</v>
      </c>
      <c r="B72" s="33" t="s">
        <v>223</v>
      </c>
    </row>
    <row r="73" customFormat="false" ht="12.8" hidden="false" customHeight="false" outlineLevel="0" collapsed="false">
      <c r="A73" s="15" t="s">
        <v>315</v>
      </c>
      <c r="B73" s="33" t="s">
        <v>224</v>
      </c>
    </row>
    <row r="74" customFormat="false" ht="12.8" hidden="false" customHeight="false" outlineLevel="0" collapsed="false">
      <c r="A74" s="15" t="s">
        <v>220</v>
      </c>
      <c r="B74" s="33" t="n">
        <v>2.5</v>
      </c>
    </row>
    <row r="75" customFormat="false" ht="12.8" hidden="false" customHeight="false" outlineLevel="0" collapsed="false">
      <c r="A75" s="15" t="s">
        <v>316</v>
      </c>
      <c r="B75" s="33" t="s">
        <v>317</v>
      </c>
    </row>
    <row r="76" customFormat="false" ht="12.8" hidden="false" customHeight="false" outlineLevel="0" collapsed="false">
      <c r="A76" s="15" t="s">
        <v>304</v>
      </c>
      <c r="B76" s="51" t="n">
        <f aca="false">AVERAGE(E3:E63)</f>
        <v>12</v>
      </c>
    </row>
    <row r="77" customFormat="false" ht="12.8" hidden="false" customHeight="false" outlineLevel="0" collapsed="false">
      <c r="A77" s="15" t="s">
        <v>305</v>
      </c>
      <c r="B77" s="51" t="n">
        <f aca="false">MAX(E3:E63)</f>
        <v>20</v>
      </c>
    </row>
    <row r="78" customFormat="false" ht="12.8" hidden="false" customHeight="false" outlineLevel="0" collapsed="false">
      <c r="A78" s="15" t="s">
        <v>306</v>
      </c>
      <c r="B78" s="51" t="n">
        <f aca="false">MIN(E3:E63)</f>
        <v>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landscape" usePrinterDefaults="false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78"/>
  <sheetViews>
    <sheetView windowProtection="false" showFormulas="false" showGridLines="true" showRowColHeaders="true" showZeros="true" rightToLeft="false" tabSelected="false" showOutlineSymbols="true" defaultGridColor="true" view="normal" topLeftCell="A64" colorId="64" zoomScale="140" zoomScaleNormal="140" zoomScalePageLayoutView="100" workbookViewId="0">
      <selection pane="topLeft" activeCell="G52" activeCellId="0" sqref="G52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tr">
        <f aca="false">'Detail Notes S3'!A1</f>
        <v>Numéro</v>
      </c>
      <c r="B1" s="0" t="str">
        <f aca="false">'Detail Notes S3'!B1</f>
        <v>Nom</v>
      </c>
      <c r="C1" s="0" t="str">
        <f aca="false">'Detail Notes S3'!C1</f>
        <v>Prénom</v>
      </c>
      <c r="D1" s="0" t="str">
        <f aca="false">'Detail Notes S3'!D1</f>
        <v>Groupe</v>
      </c>
      <c r="E1" s="49" t="s">
        <v>304</v>
      </c>
      <c r="F1" s="0" t="s">
        <v>283</v>
      </c>
    </row>
    <row r="2" customFormat="false" ht="12.8" hidden="false" customHeight="false" outlineLevel="0" collapsed="false">
      <c r="D2" s="1"/>
      <c r="E2" s="49"/>
    </row>
    <row r="3" customFormat="false" ht="12.8" hidden="false" customHeight="false" outlineLevel="0" collapsed="false">
      <c r="A3" s="15" t="str">
        <f aca="false">'Detail Notes S3'!A3</f>
        <v>20150926</v>
      </c>
      <c r="B3" s="15" t="str">
        <f aca="false">'Detail Notes S3'!B3</f>
        <v>BAUDELET</v>
      </c>
      <c r="C3" s="15" t="str">
        <f aca="false">'Detail Notes S3'!C3</f>
        <v>Geoffrey</v>
      </c>
      <c r="D3" s="15" t="str">
        <f aca="false">'Detail Notes S3'!D3</f>
        <v>2-B</v>
      </c>
      <c r="E3" s="31" t="n">
        <f aca="false">RANDBETWEEN(50,200)/10</f>
        <v>13</v>
      </c>
      <c r="F3" s="17" t="n">
        <f aca="false">RANK(E3,$E$3:$E$63)</f>
        <v>28</v>
      </c>
    </row>
    <row r="4" customFormat="false" ht="12.8" hidden="false" customHeight="false" outlineLevel="0" collapsed="false">
      <c r="A4" s="15" t="str">
        <f aca="false">'Detail Notes S3'!A4</f>
        <v>20150927</v>
      </c>
      <c r="B4" s="15" t="str">
        <f aca="false">'Detail Notes S3'!B4</f>
        <v>BIGARD</v>
      </c>
      <c r="C4" s="15" t="str">
        <f aca="false">'Detail Notes S3'!C4</f>
        <v>Samuel</v>
      </c>
      <c r="D4" s="15" t="str">
        <f aca="false">'Detail Notes S3'!D4</f>
        <v>2-C</v>
      </c>
      <c r="E4" s="31" t="n">
        <f aca="false">RANDBETWEEN(50,200)/10</f>
        <v>16.4</v>
      </c>
      <c r="F4" s="17" t="n">
        <f aca="false">RANK(E4,$E$3:$E$63)</f>
        <v>13</v>
      </c>
    </row>
    <row r="5" customFormat="false" ht="12.8" hidden="false" customHeight="false" outlineLevel="0" collapsed="false">
      <c r="A5" s="15" t="str">
        <f aca="false">'Detail Notes S3'!A5</f>
        <v>20150928</v>
      </c>
      <c r="B5" s="15" t="str">
        <f aca="false">'Detail Notes S3'!B5</f>
        <v>BISSON</v>
      </c>
      <c r="C5" s="15" t="str">
        <f aca="false">'Detail Notes S3'!C5</f>
        <v>Julien</v>
      </c>
      <c r="D5" s="15" t="str">
        <f aca="false">'Detail Notes S3'!D5</f>
        <v>2-A</v>
      </c>
      <c r="E5" s="31" t="n">
        <f aca="false">RANDBETWEEN(50,200)/10</f>
        <v>15.3</v>
      </c>
      <c r="F5" s="17" t="n">
        <f aca="false">RANK(E5,$E$3:$E$63)</f>
        <v>19</v>
      </c>
    </row>
    <row r="6" customFormat="false" ht="12.8" hidden="false" customHeight="false" outlineLevel="0" collapsed="false">
      <c r="A6" s="15" t="str">
        <f aca="false">'Detail Notes S3'!A6</f>
        <v>20150929</v>
      </c>
      <c r="B6" s="15" t="str">
        <f aca="false">'Detail Notes S3'!B6</f>
        <v>BONTE</v>
      </c>
      <c r="C6" s="15" t="str">
        <f aca="false">'Detail Notes S3'!C6</f>
        <v>Nicolas</v>
      </c>
      <c r="D6" s="15" t="str">
        <f aca="false">'Detail Notes S3'!D6</f>
        <v>2-A</v>
      </c>
      <c r="E6" s="31" t="n">
        <f aca="false">RANDBETWEEN(50,200)/10</f>
        <v>9.4</v>
      </c>
      <c r="F6" s="17" t="n">
        <f aca="false">RANK(E6,$E$3:$E$63)</f>
        <v>46</v>
      </c>
    </row>
    <row r="7" customFormat="false" ht="12.8" hidden="false" customHeight="false" outlineLevel="0" collapsed="false">
      <c r="A7" s="15" t="str">
        <f aca="false">'Detail Notes S3'!A7</f>
        <v>20150930</v>
      </c>
      <c r="B7" s="15" t="str">
        <f aca="false">'Detail Notes S3'!B7</f>
        <v>BOULNOIS</v>
      </c>
      <c r="C7" s="15" t="str">
        <f aca="false">'Detail Notes S3'!C7</f>
        <v>Louis</v>
      </c>
      <c r="D7" s="15" t="str">
        <f aca="false">'Detail Notes S3'!D7</f>
        <v>2-A</v>
      </c>
      <c r="E7" s="31" t="n">
        <f aca="false">RANDBETWEEN(50,200)/10</f>
        <v>19.9</v>
      </c>
      <c r="F7" s="17" t="n">
        <f aca="false">RANK(E7,$E$3:$E$63)</f>
        <v>1</v>
      </c>
    </row>
    <row r="8" customFormat="false" ht="12.8" hidden="false" customHeight="false" outlineLevel="0" collapsed="false">
      <c r="A8" s="15" t="str">
        <f aca="false">'Detail Notes S3'!A8</f>
        <v>20150931</v>
      </c>
      <c r="B8" s="15" t="str">
        <f aca="false">'Detail Notes S3'!B8</f>
        <v>CHATELET</v>
      </c>
      <c r="C8" s="15" t="str">
        <f aca="false">'Detail Notes S3'!C8</f>
        <v>Hadrien</v>
      </c>
      <c r="D8" s="15" t="str">
        <f aca="false">'Detail Notes S3'!D8</f>
        <v>2-B</v>
      </c>
      <c r="E8" s="31" t="n">
        <f aca="false">RANDBETWEEN(50,200)/10</f>
        <v>19</v>
      </c>
      <c r="F8" s="17" t="n">
        <f aca="false">RANK(E8,$E$3:$E$63)</f>
        <v>4</v>
      </c>
    </row>
    <row r="9" customFormat="false" ht="12.8" hidden="false" customHeight="false" outlineLevel="0" collapsed="false">
      <c r="A9" s="15" t="str">
        <f aca="false">'Detail Notes S3'!A9</f>
        <v>20150932</v>
      </c>
      <c r="B9" s="15" t="str">
        <f aca="false">'Detail Notes S3'!B9</f>
        <v>CLEROT</v>
      </c>
      <c r="C9" s="15" t="str">
        <f aca="false">'Detail Notes S3'!C9</f>
        <v>Jérémy</v>
      </c>
      <c r="D9" s="15" t="str">
        <f aca="false">'Detail Notes S3'!D9</f>
        <v>2-C</v>
      </c>
      <c r="E9" s="31" t="n">
        <f aca="false">RANDBETWEEN(50,200)/10</f>
        <v>5</v>
      </c>
      <c r="F9" s="17" t="n">
        <f aca="false">RANK(E9,$E$3:$E$63)</f>
        <v>61</v>
      </c>
    </row>
    <row r="10" customFormat="false" ht="12.8" hidden="false" customHeight="false" outlineLevel="0" collapsed="false">
      <c r="A10" s="15" t="str">
        <f aca="false">'Detail Notes S3'!A10</f>
        <v>20150933</v>
      </c>
      <c r="B10" s="15" t="str">
        <f aca="false">'Detail Notes S3'!B10</f>
        <v>CORNU</v>
      </c>
      <c r="C10" s="15" t="str">
        <f aca="false">'Detail Notes S3'!C10</f>
        <v>Bastien</v>
      </c>
      <c r="D10" s="15" t="str">
        <f aca="false">'Detail Notes S3'!D10</f>
        <v>2-C</v>
      </c>
      <c r="E10" s="31" t="n">
        <f aca="false">RANDBETWEEN(50,200)/10</f>
        <v>14.1</v>
      </c>
      <c r="F10" s="17" t="n">
        <f aca="false">RANK(E10,$E$3:$E$63)</f>
        <v>23</v>
      </c>
    </row>
    <row r="11" customFormat="false" ht="12.8" hidden="false" customHeight="false" outlineLevel="0" collapsed="false">
      <c r="A11" s="15" t="str">
        <f aca="false">'Detail Notes S3'!A11</f>
        <v>20150934</v>
      </c>
      <c r="B11" s="15" t="str">
        <f aca="false">'Detail Notes S3'!B11</f>
        <v>DACHY</v>
      </c>
      <c r="C11" s="15" t="str">
        <f aca="false">'Detail Notes S3'!C11</f>
        <v>Remy</v>
      </c>
      <c r="D11" s="15" t="str">
        <f aca="false">'Detail Notes S3'!D11</f>
        <v>2-B</v>
      </c>
      <c r="E11" s="31" t="n">
        <f aca="false">RANDBETWEEN(50,200)/10</f>
        <v>14.7</v>
      </c>
      <c r="F11" s="17" t="n">
        <f aca="false">RANK(E11,$E$3:$E$63)</f>
        <v>21</v>
      </c>
    </row>
    <row r="12" customFormat="false" ht="12.8" hidden="false" customHeight="false" outlineLevel="0" collapsed="false">
      <c r="A12" s="15" t="str">
        <f aca="false">'Detail Notes S3'!A12</f>
        <v>20150935</v>
      </c>
      <c r="B12" s="15" t="str">
        <f aca="false">'Detail Notes S3'!B12</f>
        <v>DANGLETERRE</v>
      </c>
      <c r="C12" s="15" t="str">
        <f aca="false">'Detail Notes S3'!C12</f>
        <v>Thomas</v>
      </c>
      <c r="D12" s="15" t="str">
        <f aca="false">'Detail Notes S3'!D12</f>
        <v>2-C</v>
      </c>
      <c r="E12" s="31" t="n">
        <f aca="false">RANDBETWEEN(50,200)/10</f>
        <v>19.3</v>
      </c>
      <c r="F12" s="17" t="n">
        <f aca="false">RANK(E12,$E$3:$E$63)</f>
        <v>3</v>
      </c>
    </row>
    <row r="13" customFormat="false" ht="12.8" hidden="false" customHeight="false" outlineLevel="0" collapsed="false">
      <c r="A13" s="15" t="str">
        <f aca="false">'Detail Notes S3'!A13</f>
        <v>20150936</v>
      </c>
      <c r="B13" s="15" t="str">
        <f aca="false">'Detail Notes S3'!B13</f>
        <v>DEBACKER</v>
      </c>
      <c r="C13" s="15" t="str">
        <f aca="false">'Detail Notes S3'!C13</f>
        <v>Thomas</v>
      </c>
      <c r="D13" s="15" t="str">
        <f aca="false">'Detail Notes S3'!D13</f>
        <v>2-C</v>
      </c>
      <c r="E13" s="31" t="n">
        <f aca="false">RANDBETWEEN(50,200)/10</f>
        <v>6.3</v>
      </c>
      <c r="F13" s="17" t="n">
        <f aca="false">RANK(E13,$E$3:$E$63)</f>
        <v>56</v>
      </c>
    </row>
    <row r="14" customFormat="false" ht="12.8" hidden="false" customHeight="false" outlineLevel="0" collapsed="false">
      <c r="A14" s="15" t="str">
        <f aca="false">'Detail Notes S3'!A14</f>
        <v>20150937</v>
      </c>
      <c r="B14" s="15" t="str">
        <f aca="false">'Detail Notes S3'!B14</f>
        <v>DELBREUVE</v>
      </c>
      <c r="C14" s="15" t="str">
        <f aca="false">'Detail Notes S3'!C14</f>
        <v>Benjamin</v>
      </c>
      <c r="D14" s="15" t="str">
        <f aca="false">'Detail Notes S3'!D14</f>
        <v>2-C</v>
      </c>
      <c r="E14" s="31" t="n">
        <f aca="false">RANDBETWEEN(50,200)/10</f>
        <v>16.4</v>
      </c>
      <c r="F14" s="17" t="n">
        <f aca="false">RANK(E14,$E$3:$E$63)</f>
        <v>13</v>
      </c>
    </row>
    <row r="15" customFormat="false" ht="12.8" hidden="false" customHeight="false" outlineLevel="0" collapsed="false">
      <c r="A15" s="15" t="str">
        <f aca="false">'Detail Notes S3'!A15</f>
        <v>20150938</v>
      </c>
      <c r="B15" s="15" t="str">
        <f aca="false">'Detail Notes S3'!B15</f>
        <v>DEROSNE</v>
      </c>
      <c r="C15" s="15" t="str">
        <f aca="false">'Detail Notes S3'!C15</f>
        <v>Florentin</v>
      </c>
      <c r="D15" s="15" t="str">
        <f aca="false">'Detail Notes S3'!D15</f>
        <v>2-B</v>
      </c>
      <c r="E15" s="31" t="n">
        <f aca="false">RANDBETWEEN(50,200)/10</f>
        <v>13.6</v>
      </c>
      <c r="F15" s="17" t="n">
        <f aca="false">RANK(E15,$E$3:$E$63)</f>
        <v>25</v>
      </c>
    </row>
    <row r="16" customFormat="false" ht="12.8" hidden="false" customHeight="false" outlineLevel="0" collapsed="false">
      <c r="A16" s="15" t="str">
        <f aca="false">'Detail Notes S3'!A16</f>
        <v>20150939</v>
      </c>
      <c r="B16" s="15" t="str">
        <f aca="false">'Detail Notes S3'!B16</f>
        <v>DUHAUT</v>
      </c>
      <c r="C16" s="15" t="str">
        <f aca="false">'Detail Notes S3'!C16</f>
        <v>Thomas</v>
      </c>
      <c r="D16" s="15" t="str">
        <f aca="false">'Detail Notes S3'!D16</f>
        <v>2-A</v>
      </c>
      <c r="E16" s="31" t="n">
        <f aca="false">RANDBETWEEN(50,200)/10</f>
        <v>17.2</v>
      </c>
      <c r="F16" s="17" t="n">
        <f aca="false">RANK(E16,$E$3:$E$63)</f>
        <v>11</v>
      </c>
    </row>
    <row r="17" customFormat="false" ht="12.8" hidden="false" customHeight="false" outlineLevel="0" collapsed="false">
      <c r="A17" s="15" t="str">
        <f aca="false">'Detail Notes S3'!A17</f>
        <v>20150940</v>
      </c>
      <c r="B17" s="15" t="str">
        <f aca="false">'Detail Notes S3'!B17</f>
        <v>DUMETZ</v>
      </c>
      <c r="C17" s="15" t="str">
        <f aca="false">'Detail Notes S3'!C17</f>
        <v>Joffrey</v>
      </c>
      <c r="D17" s="15" t="str">
        <f aca="false">'Detail Notes S3'!D17</f>
        <v>2-C</v>
      </c>
      <c r="E17" s="31" t="n">
        <f aca="false">RANDBETWEEN(50,200)/10</f>
        <v>15.8</v>
      </c>
      <c r="F17" s="17" t="n">
        <f aca="false">RANK(E17,$E$3:$E$63)</f>
        <v>17</v>
      </c>
    </row>
    <row r="18" customFormat="false" ht="12.8" hidden="false" customHeight="false" outlineLevel="0" collapsed="false">
      <c r="A18" s="15" t="str">
        <f aca="false">'Detail Notes S3'!A18</f>
        <v>20150941</v>
      </c>
      <c r="B18" s="15" t="str">
        <f aca="false">'Detail Notes S3'!B18</f>
        <v>FEVRIER</v>
      </c>
      <c r="C18" s="15" t="str">
        <f aca="false">'Detail Notes S3'!C18</f>
        <v>Tennessee</v>
      </c>
      <c r="D18" s="15" t="str">
        <f aca="false">'Detail Notes S3'!D18</f>
        <v>2-C</v>
      </c>
      <c r="E18" s="31" t="n">
        <f aca="false">RANDBETWEEN(50,200)/10</f>
        <v>5.2</v>
      </c>
      <c r="F18" s="17" t="n">
        <f aca="false">RANK(E18,$E$3:$E$63)</f>
        <v>60</v>
      </c>
    </row>
    <row r="19" customFormat="false" ht="12.8" hidden="false" customHeight="false" outlineLevel="0" collapsed="false">
      <c r="A19" s="15" t="str">
        <f aca="false">'Detail Notes S3'!A19</f>
        <v>20150942</v>
      </c>
      <c r="B19" s="15" t="str">
        <f aca="false">'Detail Notes S3'!B19</f>
        <v>FORGET</v>
      </c>
      <c r="C19" s="15" t="str">
        <f aca="false">'Detail Notes S3'!C19</f>
        <v>Kévin</v>
      </c>
      <c r="D19" s="15" t="str">
        <f aca="false">'Detail Notes S3'!D19</f>
        <v>2-B</v>
      </c>
      <c r="E19" s="31" t="n">
        <f aca="false">RANDBETWEEN(50,200)/10</f>
        <v>13.1</v>
      </c>
      <c r="F19" s="17" t="n">
        <f aca="false">RANK(E19,$E$3:$E$63)</f>
        <v>27</v>
      </c>
    </row>
    <row r="20" customFormat="false" ht="12.8" hidden="false" customHeight="false" outlineLevel="0" collapsed="false">
      <c r="A20" s="15" t="str">
        <f aca="false">'Detail Notes S3'!A20</f>
        <v>20150943</v>
      </c>
      <c r="B20" s="15" t="str">
        <f aca="false">'Detail Notes S3'!B20</f>
        <v>FROISSART</v>
      </c>
      <c r="C20" s="15" t="str">
        <f aca="false">'Detail Notes S3'!C20</f>
        <v>Marie</v>
      </c>
      <c r="D20" s="15" t="str">
        <f aca="false">'Detail Notes S3'!D20</f>
        <v>2-B</v>
      </c>
      <c r="E20" s="31" t="n">
        <f aca="false">RANDBETWEEN(50,200)/10</f>
        <v>16.1</v>
      </c>
      <c r="F20" s="17" t="n">
        <f aca="false">RANK(E20,$E$3:$E$63)</f>
        <v>15</v>
      </c>
    </row>
    <row r="21" customFormat="false" ht="12.8" hidden="false" customHeight="false" outlineLevel="0" collapsed="false">
      <c r="A21" s="15" t="str">
        <f aca="false">'Detail Notes S3'!A21</f>
        <v>20150944</v>
      </c>
      <c r="B21" s="15" t="str">
        <f aca="false">'Detail Notes S3'!B21</f>
        <v>FRUY</v>
      </c>
      <c r="C21" s="15" t="str">
        <f aca="false">'Detail Notes S3'!C21</f>
        <v>Sébastien</v>
      </c>
      <c r="D21" s="15" t="str">
        <f aca="false">'Detail Notes S3'!D21</f>
        <v>2-B</v>
      </c>
      <c r="E21" s="31" t="n">
        <f aca="false">RANDBETWEEN(50,200)/10</f>
        <v>10.8</v>
      </c>
      <c r="F21" s="17" t="n">
        <f aca="false">RANK(E21,$E$3:$E$63)</f>
        <v>42</v>
      </c>
    </row>
    <row r="22" customFormat="false" ht="12.8" hidden="false" customHeight="false" outlineLevel="0" collapsed="false">
      <c r="A22" s="15" t="str">
        <f aca="false">'Detail Notes S3'!A22</f>
        <v>20150945</v>
      </c>
      <c r="B22" s="15" t="str">
        <f aca="false">'Detail Notes S3'!B22</f>
        <v>GEERAERT</v>
      </c>
      <c r="C22" s="15" t="str">
        <f aca="false">'Detail Notes S3'!C22</f>
        <v>Quentin</v>
      </c>
      <c r="D22" s="15" t="str">
        <f aca="false">'Detail Notes S3'!D22</f>
        <v>2-C</v>
      </c>
      <c r="E22" s="31" t="n">
        <f aca="false">RANDBETWEEN(50,200)/10</f>
        <v>9.8</v>
      </c>
      <c r="F22" s="17" t="n">
        <f aca="false">RANK(E22,$E$3:$E$63)</f>
        <v>44</v>
      </c>
    </row>
    <row r="23" customFormat="false" ht="12.8" hidden="false" customHeight="false" outlineLevel="0" collapsed="false">
      <c r="A23" s="15" t="str">
        <f aca="false">'Detail Notes S3'!A23</f>
        <v>20150946</v>
      </c>
      <c r="B23" s="15" t="str">
        <f aca="false">'Detail Notes S3'!B23</f>
        <v>GREMBER</v>
      </c>
      <c r="C23" s="15" t="str">
        <f aca="false">'Detail Notes S3'!C23</f>
        <v>Nicolas</v>
      </c>
      <c r="D23" s="15" t="str">
        <f aca="false">'Detail Notes S3'!D23</f>
        <v>2-A</v>
      </c>
      <c r="E23" s="31" t="n">
        <f aca="false">RANDBETWEEN(50,200)/10</f>
        <v>8.5</v>
      </c>
      <c r="F23" s="17" t="n">
        <f aca="false">RANK(E23,$E$3:$E$63)</f>
        <v>51</v>
      </c>
    </row>
    <row r="24" customFormat="false" ht="12.8" hidden="false" customHeight="false" outlineLevel="0" collapsed="false">
      <c r="A24" s="15" t="str">
        <f aca="false">'Detail Notes S3'!A24</f>
        <v>20150947</v>
      </c>
      <c r="B24" s="15" t="str">
        <f aca="false">'Detail Notes S3'!B24</f>
        <v>HENNAUT</v>
      </c>
      <c r="C24" s="15" t="str">
        <f aca="false">'Detail Notes S3'!C24</f>
        <v>Thibaut</v>
      </c>
      <c r="D24" s="15" t="str">
        <f aca="false">'Detail Notes S3'!D24</f>
        <v>2-A</v>
      </c>
      <c r="E24" s="31" t="n">
        <f aca="false">RANDBETWEEN(50,200)/10</f>
        <v>14</v>
      </c>
      <c r="F24" s="17" t="n">
        <f aca="false">RANK(E24,$E$3:$E$63)</f>
        <v>24</v>
      </c>
    </row>
    <row r="25" customFormat="false" ht="12.8" hidden="false" customHeight="false" outlineLevel="0" collapsed="false">
      <c r="A25" s="15" t="str">
        <f aca="false">'Detail Notes S3'!A25</f>
        <v>20150948</v>
      </c>
      <c r="B25" s="15" t="str">
        <f aca="false">'Detail Notes S3'!B25</f>
        <v>KURZAWSKI</v>
      </c>
      <c r="C25" s="15" t="str">
        <f aca="false">'Detail Notes S3'!C25</f>
        <v>Pierre</v>
      </c>
      <c r="D25" s="15" t="str">
        <f aca="false">'Detail Notes S3'!D25</f>
        <v>2-B</v>
      </c>
      <c r="E25" s="31" t="n">
        <f aca="false">RANDBETWEEN(50,200)/10</f>
        <v>18.7</v>
      </c>
      <c r="F25" s="17" t="n">
        <f aca="false">RANK(E25,$E$3:$E$63)</f>
        <v>6</v>
      </c>
    </row>
    <row r="26" customFormat="false" ht="12.8" hidden="false" customHeight="false" outlineLevel="0" collapsed="false">
      <c r="A26" s="15" t="str">
        <f aca="false">'Detail Notes S3'!A26</f>
        <v>20150949</v>
      </c>
      <c r="B26" s="15" t="str">
        <f aca="false">'Detail Notes S3'!B26</f>
        <v>LAMBERSENS</v>
      </c>
      <c r="C26" s="15" t="str">
        <f aca="false">'Detail Notes S3'!C26</f>
        <v>Adrien</v>
      </c>
      <c r="D26" s="15" t="str">
        <f aca="false">'Detail Notes S3'!D26</f>
        <v>2-B</v>
      </c>
      <c r="E26" s="31" t="n">
        <f aca="false">RANDBETWEEN(50,200)/10</f>
        <v>17.1</v>
      </c>
      <c r="F26" s="17" t="n">
        <f aca="false">RANK(E26,$E$3:$E$63)</f>
        <v>12</v>
      </c>
    </row>
    <row r="27" customFormat="false" ht="12.8" hidden="false" customHeight="false" outlineLevel="0" collapsed="false">
      <c r="A27" s="15" t="str">
        <f aca="false">'Detail Notes S3'!A27</f>
        <v>20150950</v>
      </c>
      <c r="B27" s="15" t="str">
        <f aca="false">'Detail Notes S3'!B27</f>
        <v>LE FOLL</v>
      </c>
      <c r="C27" s="15" t="str">
        <f aca="false">'Detail Notes S3'!C27</f>
        <v>Coralie</v>
      </c>
      <c r="D27" s="15" t="str">
        <f aca="false">'Detail Notes S3'!D27</f>
        <v>2-A</v>
      </c>
      <c r="E27" s="31" t="n">
        <f aca="false">RANDBETWEEN(50,200)/10</f>
        <v>18</v>
      </c>
      <c r="F27" s="17" t="n">
        <f aca="false">RANK(E27,$E$3:$E$63)</f>
        <v>9</v>
      </c>
    </row>
    <row r="28" customFormat="false" ht="12.8" hidden="false" customHeight="false" outlineLevel="0" collapsed="false">
      <c r="A28" s="15" t="str">
        <f aca="false">'Detail Notes S3'!A28</f>
        <v>20150951</v>
      </c>
      <c r="B28" s="15" t="str">
        <f aca="false">'Detail Notes S3'!B28</f>
        <v>LECHA</v>
      </c>
      <c r="C28" s="15" t="str">
        <f aca="false">'Detail Notes S3'!C28</f>
        <v>Benjamin</v>
      </c>
      <c r="D28" s="15" t="str">
        <f aca="false">'Detail Notes S3'!D28</f>
        <v>2-C</v>
      </c>
      <c r="E28" s="31" t="n">
        <f aca="false">RANDBETWEEN(50,200)/10</f>
        <v>5.9</v>
      </c>
      <c r="F28" s="17" t="n">
        <f aca="false">RANK(E28,$E$3:$E$63)</f>
        <v>57</v>
      </c>
    </row>
    <row r="29" customFormat="false" ht="12.8" hidden="false" customHeight="false" outlineLevel="0" collapsed="false">
      <c r="A29" s="15" t="str">
        <f aca="false">'Detail Notes S3'!A29</f>
        <v>20150952</v>
      </c>
      <c r="B29" s="15" t="str">
        <f aca="false">'Detail Notes S3'!B29</f>
        <v>LEFAIT</v>
      </c>
      <c r="C29" s="15" t="str">
        <f aca="false">'Detail Notes S3'!C29</f>
        <v>Romain</v>
      </c>
      <c r="D29" s="15" t="str">
        <f aca="false">'Detail Notes S3'!D29</f>
        <v>2-B</v>
      </c>
      <c r="E29" s="31" t="n">
        <f aca="false">RANDBETWEEN(50,200)/10</f>
        <v>7.2</v>
      </c>
      <c r="F29" s="17" t="n">
        <f aca="false">RANK(E29,$E$3:$E$63)</f>
        <v>55</v>
      </c>
    </row>
    <row r="30" customFormat="false" ht="12.8" hidden="false" customHeight="false" outlineLevel="0" collapsed="false">
      <c r="A30" s="15" t="str">
        <f aca="false">'Detail Notes S3'!A30</f>
        <v>20150953</v>
      </c>
      <c r="B30" s="15" t="str">
        <f aca="false">'Detail Notes S3'!B30</f>
        <v>LEFEBVRE</v>
      </c>
      <c r="C30" s="15" t="str">
        <f aca="false">'Detail Notes S3'!C30</f>
        <v>Jéremy</v>
      </c>
      <c r="D30" s="15" t="str">
        <f aca="false">'Detail Notes S3'!D30</f>
        <v>2-B</v>
      </c>
      <c r="E30" s="31" t="n">
        <f aca="false">RANDBETWEEN(50,200)/10</f>
        <v>10.6</v>
      </c>
      <c r="F30" s="17" t="n">
        <f aca="false">RANK(E30,$E$3:$E$63)</f>
        <v>43</v>
      </c>
    </row>
    <row r="31" customFormat="false" ht="12.8" hidden="false" customHeight="false" outlineLevel="0" collapsed="false">
      <c r="A31" s="15" t="str">
        <f aca="false">'Detail Notes S3'!A31</f>
        <v>20150954</v>
      </c>
      <c r="B31" s="15" t="str">
        <f aca="false">'Detail Notes S3'!B31</f>
        <v>LEFEBVRE</v>
      </c>
      <c r="C31" s="15" t="str">
        <f aca="false">'Detail Notes S3'!C31</f>
        <v>Kévin</v>
      </c>
      <c r="D31" s="15" t="str">
        <f aca="false">'Detail Notes S3'!D31</f>
        <v>2-A</v>
      </c>
      <c r="E31" s="31" t="n">
        <f aca="false">RANDBETWEEN(50,200)/10</f>
        <v>12.8</v>
      </c>
      <c r="F31" s="17" t="n">
        <f aca="false">RANK(E31,$E$3:$E$63)</f>
        <v>31</v>
      </c>
    </row>
    <row r="32" customFormat="false" ht="12.8" hidden="false" customHeight="false" outlineLevel="0" collapsed="false">
      <c r="A32" s="15" t="str">
        <f aca="false">'Detail Notes S3'!A32</f>
        <v>20150955</v>
      </c>
      <c r="B32" s="15" t="str">
        <f aca="false">'Detail Notes S3'!B32</f>
        <v>LEGRAND</v>
      </c>
      <c r="C32" s="15" t="str">
        <f aca="false">'Detail Notes S3'!C32</f>
        <v>Baptiste</v>
      </c>
      <c r="D32" s="15" t="str">
        <f aca="false">'Detail Notes S3'!D32</f>
        <v>2-C</v>
      </c>
      <c r="E32" s="31" t="n">
        <f aca="false">RANDBETWEEN(50,200)/10</f>
        <v>18.7</v>
      </c>
      <c r="F32" s="17" t="n">
        <f aca="false">RANK(E32,$E$3:$E$63)</f>
        <v>6</v>
      </c>
    </row>
    <row r="33" customFormat="false" ht="12.8" hidden="false" customHeight="false" outlineLevel="0" collapsed="false">
      <c r="A33" s="15" t="str">
        <f aca="false">'Detail Notes S3'!A33</f>
        <v>20150956</v>
      </c>
      <c r="B33" s="15" t="str">
        <f aca="false">'Detail Notes S3'!B33</f>
        <v>LEGRU</v>
      </c>
      <c r="C33" s="15" t="str">
        <f aca="false">'Detail Notes S3'!C33</f>
        <v>Florent</v>
      </c>
      <c r="D33" s="15" t="str">
        <f aca="false">'Detail Notes S3'!D33</f>
        <v>2-B</v>
      </c>
      <c r="E33" s="31" t="n">
        <f aca="false">RANDBETWEEN(50,200)/10</f>
        <v>13</v>
      </c>
      <c r="F33" s="17" t="n">
        <f aca="false">RANK(E33,$E$3:$E$63)</f>
        <v>28</v>
      </c>
    </row>
    <row r="34" customFormat="false" ht="12.8" hidden="false" customHeight="false" outlineLevel="0" collapsed="false">
      <c r="A34" s="15" t="str">
        <f aca="false">'Detail Notes S3'!A34</f>
        <v>20150957</v>
      </c>
      <c r="B34" s="15" t="str">
        <f aca="false">'Detail Notes S3'!B34</f>
        <v>LEMAITRE</v>
      </c>
      <c r="C34" s="15" t="str">
        <f aca="false">'Detail Notes S3'!C34</f>
        <v>Valentin</v>
      </c>
      <c r="D34" s="15" t="str">
        <f aca="false">'Detail Notes S3'!D34</f>
        <v>2-C</v>
      </c>
      <c r="E34" s="31" t="n">
        <f aca="false">RANDBETWEEN(50,200)/10</f>
        <v>14.5</v>
      </c>
      <c r="F34" s="17" t="n">
        <f aca="false">RANK(E34,$E$3:$E$63)</f>
        <v>22</v>
      </c>
    </row>
    <row r="35" customFormat="false" ht="12.8" hidden="false" customHeight="false" outlineLevel="0" collapsed="false">
      <c r="A35" s="15" t="str">
        <f aca="false">'Detail Notes S3'!A35</f>
        <v>20150958</v>
      </c>
      <c r="B35" s="15" t="str">
        <f aca="false">'Detail Notes S3'!B35</f>
        <v>LESAFFRE</v>
      </c>
      <c r="C35" s="15" t="str">
        <f aca="false">'Detail Notes S3'!C35</f>
        <v>Romain</v>
      </c>
      <c r="D35" s="15" t="str">
        <f aca="false">'Detail Notes S3'!D35</f>
        <v>2-A</v>
      </c>
      <c r="E35" s="31" t="n">
        <f aca="false">RANDBETWEEN(50,200)/10</f>
        <v>5.6</v>
      </c>
      <c r="F35" s="17" t="n">
        <f aca="false">RANK(E35,$E$3:$E$63)</f>
        <v>58</v>
      </c>
    </row>
    <row r="36" customFormat="false" ht="12.8" hidden="false" customHeight="false" outlineLevel="0" collapsed="false">
      <c r="A36" s="15" t="str">
        <f aca="false">'Detail Notes S3'!A36</f>
        <v>20150959</v>
      </c>
      <c r="B36" s="15" t="str">
        <f aca="false">'Detail Notes S3'!B36</f>
        <v>LETERTRE</v>
      </c>
      <c r="C36" s="15" t="str">
        <f aca="false">'Detail Notes S3'!C36</f>
        <v>Florian</v>
      </c>
      <c r="D36" s="15" t="str">
        <f aca="false">'Detail Notes S3'!D36</f>
        <v>2-C</v>
      </c>
      <c r="E36" s="31" t="n">
        <f aca="false">RANDBETWEEN(50,200)/10</f>
        <v>11.4</v>
      </c>
      <c r="F36" s="17" t="n">
        <f aca="false">RANK(E36,$E$3:$E$63)</f>
        <v>40</v>
      </c>
    </row>
    <row r="37" customFormat="false" ht="12.8" hidden="false" customHeight="false" outlineLevel="0" collapsed="false">
      <c r="A37" s="15" t="str">
        <f aca="false">'Detail Notes S3'!A37</f>
        <v>20150960</v>
      </c>
      <c r="B37" s="15" t="str">
        <f aca="false">'Detail Notes S3'!B37</f>
        <v>LONGOUR</v>
      </c>
      <c r="C37" s="15" t="str">
        <f aca="false">'Detail Notes S3'!C37</f>
        <v>David</v>
      </c>
      <c r="D37" s="15" t="str">
        <f aca="false">'Detail Notes S3'!D37</f>
        <v>2-A</v>
      </c>
      <c r="E37" s="31" t="n">
        <f aca="false">RANDBETWEEN(50,200)/10</f>
        <v>9.2</v>
      </c>
      <c r="F37" s="17" t="n">
        <f aca="false">RANK(E37,$E$3:$E$63)</f>
        <v>48</v>
      </c>
    </row>
    <row r="38" customFormat="false" ht="12.8" hidden="false" customHeight="false" outlineLevel="0" collapsed="false">
      <c r="A38" s="15" t="str">
        <f aca="false">'Detail Notes S3'!A38</f>
        <v>20150961</v>
      </c>
      <c r="B38" s="15" t="str">
        <f aca="false">'Detail Notes S3'!B38</f>
        <v>LOOPE</v>
      </c>
      <c r="C38" s="15" t="str">
        <f aca="false">'Detail Notes S3'!C38</f>
        <v>Giovanni</v>
      </c>
      <c r="D38" s="15" t="str">
        <f aca="false">'Detail Notes S3'!D38</f>
        <v>2-A</v>
      </c>
      <c r="E38" s="31" t="n">
        <f aca="false">RANDBETWEEN(50,200)/10</f>
        <v>12.7</v>
      </c>
      <c r="F38" s="17" t="n">
        <f aca="false">RANK(E38,$E$3:$E$63)</f>
        <v>32</v>
      </c>
    </row>
    <row r="39" customFormat="false" ht="12.8" hidden="false" customHeight="false" outlineLevel="0" collapsed="false">
      <c r="A39" s="15" t="str">
        <f aca="false">'Detail Notes S3'!A39</f>
        <v>20150962</v>
      </c>
      <c r="B39" s="15" t="str">
        <f aca="false">'Detail Notes S3'!B39</f>
        <v>MAERTEN</v>
      </c>
      <c r="C39" s="15" t="str">
        <f aca="false">'Detail Notes S3'!C39</f>
        <v>Nicolas</v>
      </c>
      <c r="D39" s="15" t="str">
        <f aca="false">'Detail Notes S3'!D39</f>
        <v>2-A</v>
      </c>
      <c r="E39" s="31" t="n">
        <f aca="false">RANDBETWEEN(50,200)/10</f>
        <v>12.7</v>
      </c>
      <c r="F39" s="17" t="n">
        <f aca="false">RANK(E39,$E$3:$E$63)</f>
        <v>32</v>
      </c>
    </row>
    <row r="40" customFormat="false" ht="12.8" hidden="false" customHeight="false" outlineLevel="0" collapsed="false">
      <c r="A40" s="15" t="str">
        <f aca="false">'Detail Notes S3'!A40</f>
        <v>20150963</v>
      </c>
      <c r="B40" s="15" t="str">
        <f aca="false">'Detail Notes S3'!B40</f>
        <v>MAILLOT</v>
      </c>
      <c r="C40" s="15" t="str">
        <f aca="false">'Detail Notes S3'!C40</f>
        <v>Maxime</v>
      </c>
      <c r="D40" s="15" t="str">
        <f aca="false">'Detail Notes S3'!D40</f>
        <v>2-B</v>
      </c>
      <c r="E40" s="31" t="n">
        <f aca="false">RANDBETWEEN(50,200)/10</f>
        <v>12</v>
      </c>
      <c r="F40" s="17" t="n">
        <f aca="false">RANK(E40,$E$3:$E$63)</f>
        <v>38</v>
      </c>
    </row>
    <row r="41" customFormat="false" ht="12.8" hidden="false" customHeight="false" outlineLevel="0" collapsed="false">
      <c r="A41" s="15" t="str">
        <f aca="false">'Detail Notes S3'!A41</f>
        <v>20150964</v>
      </c>
      <c r="B41" s="15" t="str">
        <f aca="false">'Detail Notes S3'!B41</f>
        <v>MARIE</v>
      </c>
      <c r="C41" s="15" t="str">
        <f aca="false">'Detail Notes S3'!C41</f>
        <v>Louis</v>
      </c>
      <c r="D41" s="15" t="str">
        <f aca="false">'Detail Notes S3'!D41</f>
        <v>2-A</v>
      </c>
      <c r="E41" s="31" t="n">
        <f aca="false">RANDBETWEEN(50,200)/10</f>
        <v>18.1</v>
      </c>
      <c r="F41" s="17" t="n">
        <f aca="false">RANK(E41,$E$3:$E$63)</f>
        <v>8</v>
      </c>
    </row>
    <row r="42" customFormat="false" ht="12.8" hidden="false" customHeight="false" outlineLevel="0" collapsed="false">
      <c r="A42" s="15" t="str">
        <f aca="false">'Detail Notes S3'!A42</f>
        <v>20150965</v>
      </c>
      <c r="B42" s="15" t="str">
        <f aca="false">'Detail Notes S3'!B42</f>
        <v>MARTIN</v>
      </c>
      <c r="C42" s="15" t="str">
        <f aca="false">'Detail Notes S3'!C42</f>
        <v>Alexandre</v>
      </c>
      <c r="D42" s="15" t="str">
        <f aca="false">'Detail Notes S3'!D42</f>
        <v>2-C</v>
      </c>
      <c r="E42" s="31" t="n">
        <f aca="false">RANDBETWEEN(50,200)/10</f>
        <v>12.7</v>
      </c>
      <c r="F42" s="17" t="n">
        <f aca="false">RANK(E42,$E$3:$E$63)</f>
        <v>32</v>
      </c>
    </row>
    <row r="43" customFormat="false" ht="12.8" hidden="false" customHeight="false" outlineLevel="0" collapsed="false">
      <c r="A43" s="15" t="str">
        <f aca="false">'Detail Notes S3'!A43</f>
        <v>20150966</v>
      </c>
      <c r="B43" s="15" t="str">
        <f aca="false">'Detail Notes S3'!B43</f>
        <v>MASSELOT</v>
      </c>
      <c r="C43" s="15" t="str">
        <f aca="false">'Detail Notes S3'!C43</f>
        <v>Romain</v>
      </c>
      <c r="D43" s="15" t="str">
        <f aca="false">'Detail Notes S3'!D43</f>
        <v>2-A</v>
      </c>
      <c r="E43" s="31" t="n">
        <f aca="false">RANDBETWEEN(50,200)/10</f>
        <v>7.9</v>
      </c>
      <c r="F43" s="17" t="n">
        <f aca="false">RANK(E43,$E$3:$E$63)</f>
        <v>54</v>
      </c>
    </row>
    <row r="44" customFormat="false" ht="12.8" hidden="false" customHeight="false" outlineLevel="0" collapsed="false">
      <c r="A44" s="15" t="str">
        <f aca="false">'Detail Notes S3'!A44</f>
        <v>20150967</v>
      </c>
      <c r="B44" s="15" t="str">
        <f aca="false">'Detail Notes S3'!B44</f>
        <v>MERLIN</v>
      </c>
      <c r="C44" s="15" t="str">
        <f aca="false">'Detail Notes S3'!C44</f>
        <v>Anthony</v>
      </c>
      <c r="D44" s="15" t="str">
        <f aca="false">'Detail Notes S3'!D44</f>
        <v>2-A</v>
      </c>
      <c r="E44" s="31" t="n">
        <f aca="false">RANDBETWEEN(50,200)/10</f>
        <v>9.4</v>
      </c>
      <c r="F44" s="17" t="n">
        <f aca="false">RANK(E44,$E$3:$E$63)</f>
        <v>46</v>
      </c>
    </row>
    <row r="45" customFormat="false" ht="12.8" hidden="false" customHeight="false" outlineLevel="0" collapsed="false">
      <c r="A45" s="15" t="str">
        <f aca="false">'Detail Notes S3'!A45</f>
        <v>20150968</v>
      </c>
      <c r="B45" s="15" t="str">
        <f aca="false">'Detail Notes S3'!B45</f>
        <v>PETIT</v>
      </c>
      <c r="C45" s="15" t="str">
        <f aca="false">'Detail Notes S3'!C45</f>
        <v>Chloe</v>
      </c>
      <c r="D45" s="15" t="str">
        <f aca="false">'Detail Notes S3'!D45</f>
        <v>2-C</v>
      </c>
      <c r="E45" s="31" t="n">
        <f aca="false">RANDBETWEEN(50,200)/10</f>
        <v>15.2</v>
      </c>
      <c r="F45" s="17" t="n">
        <f aca="false">RANK(E45,$E$3:$E$63)</f>
        <v>20</v>
      </c>
    </row>
    <row r="46" customFormat="false" ht="12.8" hidden="false" customHeight="false" outlineLevel="0" collapsed="false">
      <c r="A46" s="15" t="str">
        <f aca="false">'Detail Notes S3'!A46</f>
        <v>20150969</v>
      </c>
      <c r="B46" s="15" t="str">
        <f aca="false">'Detail Notes S3'!B46</f>
        <v>POLAN</v>
      </c>
      <c r="C46" s="15" t="str">
        <f aca="false">'Detail Notes S3'!C46</f>
        <v>Geoffrey</v>
      </c>
      <c r="D46" s="15" t="str">
        <f aca="false">'Detail Notes S3'!D46</f>
        <v>2-A</v>
      </c>
      <c r="E46" s="31" t="n">
        <f aca="false">RANDBETWEEN(50,200)/10</f>
        <v>8.8</v>
      </c>
      <c r="F46" s="17" t="n">
        <f aca="false">RANK(E46,$E$3:$E$63)</f>
        <v>50</v>
      </c>
    </row>
    <row r="47" customFormat="false" ht="12.8" hidden="false" customHeight="false" outlineLevel="0" collapsed="false">
      <c r="A47" s="15" t="str">
        <f aca="false">'Detail Notes S3'!A47</f>
        <v>20150970</v>
      </c>
      <c r="B47" s="15" t="str">
        <f aca="false">'Detail Notes S3'!B47</f>
        <v>POUILLY</v>
      </c>
      <c r="C47" s="15" t="str">
        <f aca="false">'Detail Notes S3'!C47</f>
        <v>Gaetan</v>
      </c>
      <c r="D47" s="15" t="str">
        <f aca="false">'Detail Notes S3'!D47</f>
        <v>2-B</v>
      </c>
      <c r="E47" s="31" t="n">
        <f aca="false">RANDBETWEEN(50,200)/10</f>
        <v>11.1</v>
      </c>
      <c r="F47" s="17" t="n">
        <f aca="false">RANK(E47,$E$3:$E$63)</f>
        <v>41</v>
      </c>
    </row>
    <row r="48" customFormat="false" ht="12.8" hidden="false" customHeight="false" outlineLevel="0" collapsed="false">
      <c r="A48" s="15" t="str">
        <f aca="false">'Detail Notes S3'!A48</f>
        <v>20150971</v>
      </c>
      <c r="B48" s="15" t="str">
        <f aca="false">'Detail Notes S3'!B48</f>
        <v>ROLAND</v>
      </c>
      <c r="C48" s="15" t="str">
        <f aca="false">'Detail Notes S3'!C48</f>
        <v>Jeremie</v>
      </c>
      <c r="D48" s="15" t="str">
        <f aca="false">'Detail Notes S3'!D48</f>
        <v>2-C</v>
      </c>
      <c r="E48" s="31" t="n">
        <f aca="false">RANDBETWEEN(50,200)/10</f>
        <v>12.1</v>
      </c>
      <c r="F48" s="17" t="n">
        <f aca="false">RANK(E48,$E$3:$E$63)</f>
        <v>36</v>
      </c>
    </row>
    <row r="49" customFormat="false" ht="12.8" hidden="false" customHeight="false" outlineLevel="0" collapsed="false">
      <c r="A49" s="15" t="str">
        <f aca="false">'Detail Notes S3'!A49</f>
        <v>20150972</v>
      </c>
      <c r="B49" s="15" t="str">
        <f aca="false">'Detail Notes S3'!B49</f>
        <v>ROTTIERS</v>
      </c>
      <c r="C49" s="15" t="str">
        <f aca="false">'Detail Notes S3'!C49</f>
        <v>Theo</v>
      </c>
      <c r="D49" s="15" t="str">
        <f aca="false">'Detail Notes S3'!D49</f>
        <v>2-B</v>
      </c>
      <c r="E49" s="31" t="n">
        <f aca="false">RANDBETWEEN(50,200)/10</f>
        <v>12.7</v>
      </c>
      <c r="F49" s="17" t="n">
        <f aca="false">RANK(E49,$E$3:$E$63)</f>
        <v>32</v>
      </c>
    </row>
    <row r="50" customFormat="false" ht="12.8" hidden="false" customHeight="false" outlineLevel="0" collapsed="false">
      <c r="A50" s="15" t="str">
        <f aca="false">'Detail Notes S3'!A50</f>
        <v>20150973</v>
      </c>
      <c r="B50" s="15" t="str">
        <f aca="false">'Detail Notes S3'!B50</f>
        <v>SACRE</v>
      </c>
      <c r="C50" s="15" t="str">
        <f aca="false">'Detail Notes S3'!C50</f>
        <v>Pierre</v>
      </c>
      <c r="D50" s="15" t="str">
        <f aca="false">'Detail Notes S3'!D50</f>
        <v>2-B</v>
      </c>
      <c r="E50" s="31" t="n">
        <f aca="false">RANDBETWEEN(50,200)/10</f>
        <v>8.1</v>
      </c>
      <c r="F50" s="17" t="n">
        <f aca="false">RANK(E50,$E$3:$E$63)</f>
        <v>53</v>
      </c>
    </row>
    <row r="51" customFormat="false" ht="12.8" hidden="false" customHeight="false" outlineLevel="0" collapsed="false">
      <c r="A51" s="15" t="str">
        <f aca="false">'Detail Notes S3'!A51</f>
        <v>20150974</v>
      </c>
      <c r="B51" s="15" t="str">
        <f aca="false">'Detail Notes S3'!B51</f>
        <v>SCHILLER</v>
      </c>
      <c r="C51" s="15" t="str">
        <f aca="false">'Detail Notes S3'!C51</f>
        <v>Dylan</v>
      </c>
      <c r="D51" s="15" t="str">
        <f aca="false">'Detail Notes S3'!D51</f>
        <v>2-C</v>
      </c>
      <c r="E51" s="31" t="n">
        <f aca="false">RANDBETWEEN(50,200)/10</f>
        <v>13.3</v>
      </c>
      <c r="F51" s="17" t="n">
        <f aca="false">RANK(E51,$E$3:$E$63)</f>
        <v>26</v>
      </c>
    </row>
    <row r="52" customFormat="false" ht="12.8" hidden="false" customHeight="false" outlineLevel="0" collapsed="false">
      <c r="A52" s="15" t="str">
        <f aca="false">'Detail Notes S3'!A52</f>
        <v>20150975</v>
      </c>
      <c r="B52" s="15" t="str">
        <f aca="false">'Detail Notes S3'!B52</f>
        <v>SURET</v>
      </c>
      <c r="C52" s="15" t="str">
        <f aca="false">'Detail Notes S3'!C52</f>
        <v>Kévin</v>
      </c>
      <c r="D52" s="15" t="str">
        <f aca="false">'Detail Notes S3'!D52</f>
        <v>2-A</v>
      </c>
      <c r="E52" s="31" t="n">
        <f aca="false">RANDBETWEEN(50,200)/10</f>
        <v>19</v>
      </c>
      <c r="F52" s="17" t="n">
        <f aca="false">RANK(E52,$E$3:$E$63)</f>
        <v>4</v>
      </c>
    </row>
    <row r="53" customFormat="false" ht="12.8" hidden="false" customHeight="false" outlineLevel="0" collapsed="false">
      <c r="A53" s="15" t="str">
        <f aca="false">'Detail Notes S3'!A53</f>
        <v>20150976</v>
      </c>
      <c r="B53" s="15" t="str">
        <f aca="false">'Detail Notes S3'!B53</f>
        <v>SZKARADEK</v>
      </c>
      <c r="C53" s="15" t="str">
        <f aca="false">'Detail Notes S3'!C53</f>
        <v>Thibaud</v>
      </c>
      <c r="D53" s="15" t="str">
        <f aca="false">'Detail Notes S3'!D53</f>
        <v>2-B</v>
      </c>
      <c r="E53" s="31" t="n">
        <f aca="false">RANDBETWEEN(50,200)/10</f>
        <v>15.5</v>
      </c>
      <c r="F53" s="17" t="n">
        <f aca="false">RANK(E53,$E$3:$E$63)</f>
        <v>18</v>
      </c>
    </row>
    <row r="54" customFormat="false" ht="12.8" hidden="false" customHeight="false" outlineLevel="0" collapsed="false">
      <c r="A54" s="15" t="str">
        <f aca="false">'Detail Notes S3'!A54</f>
        <v>20150977</v>
      </c>
      <c r="B54" s="15" t="str">
        <f aca="false">'Detail Notes S3'!B54</f>
        <v>SZYMURA</v>
      </c>
      <c r="C54" s="15" t="str">
        <f aca="false">'Detail Notes S3'!C54</f>
        <v>Alexandre</v>
      </c>
      <c r="D54" s="15" t="str">
        <f aca="false">'Detail Notes S3'!D54</f>
        <v>2-C</v>
      </c>
      <c r="E54" s="31" t="n">
        <f aca="false">RANDBETWEEN(50,200)/10</f>
        <v>17.5</v>
      </c>
      <c r="F54" s="17" t="n">
        <f aca="false">RANK(E54,$E$3:$E$63)</f>
        <v>10</v>
      </c>
    </row>
    <row r="55" customFormat="false" ht="12.8" hidden="false" customHeight="false" outlineLevel="0" collapsed="false">
      <c r="A55" s="15" t="str">
        <f aca="false">'Detail Notes S3'!A55</f>
        <v>20150978</v>
      </c>
      <c r="B55" s="15" t="str">
        <f aca="false">'Detail Notes S3'!B55</f>
        <v>TANG</v>
      </c>
      <c r="C55" s="15" t="str">
        <f aca="false">'Detail Notes S3'!C55</f>
        <v>Frédéric</v>
      </c>
      <c r="D55" s="15" t="str">
        <f aca="false">'Detail Notes S3'!D55</f>
        <v>2-C</v>
      </c>
      <c r="E55" s="31" t="n">
        <f aca="false">RANDBETWEEN(50,200)/10</f>
        <v>16</v>
      </c>
      <c r="F55" s="17" t="n">
        <f aca="false">RANK(E55,$E$3:$E$63)</f>
        <v>16</v>
      </c>
    </row>
    <row r="56" customFormat="false" ht="12.8" hidden="false" customHeight="false" outlineLevel="0" collapsed="false">
      <c r="A56" s="15" t="str">
        <f aca="false">'Detail Notes S3'!A56</f>
        <v>20150979</v>
      </c>
      <c r="B56" s="15" t="str">
        <f aca="false">'Detail Notes S3'!B56</f>
        <v>TASSART</v>
      </c>
      <c r="C56" s="15" t="str">
        <f aca="false">'Detail Notes S3'!C56</f>
        <v>Alexandre</v>
      </c>
      <c r="D56" s="15" t="str">
        <f aca="false">'Detail Notes S3'!D56</f>
        <v>2-B</v>
      </c>
      <c r="E56" s="31" t="n">
        <f aca="false">RANDBETWEEN(50,200)/10</f>
        <v>19.8</v>
      </c>
      <c r="F56" s="17" t="n">
        <f aca="false">RANK(E56,$E$3:$E$63)</f>
        <v>2</v>
      </c>
    </row>
    <row r="57" customFormat="false" ht="12.8" hidden="false" customHeight="false" outlineLevel="0" collapsed="false">
      <c r="A57" s="15" t="str">
        <f aca="false">'Detail Notes S3'!A57</f>
        <v>20150980</v>
      </c>
      <c r="B57" s="15" t="str">
        <f aca="false">'Detail Notes S3'!B57</f>
        <v>THERAGE</v>
      </c>
      <c r="C57" s="15" t="str">
        <f aca="false">'Detail Notes S3'!C57</f>
        <v>Lucas</v>
      </c>
      <c r="D57" s="15" t="str">
        <f aca="false">'Detail Notes S3'!D57</f>
        <v>2-A</v>
      </c>
      <c r="E57" s="31" t="n">
        <f aca="false">RANDBETWEEN(50,200)/10</f>
        <v>8.5</v>
      </c>
      <c r="F57" s="17" t="n">
        <f aca="false">RANK(E57,$E$3:$E$63)</f>
        <v>51</v>
      </c>
    </row>
    <row r="58" customFormat="false" ht="12.8" hidden="false" customHeight="false" outlineLevel="0" collapsed="false">
      <c r="A58" s="15" t="str">
        <f aca="false">'Detail Notes S3'!A58</f>
        <v>20150981</v>
      </c>
      <c r="B58" s="15" t="str">
        <f aca="false">'Detail Notes S3'!B58</f>
        <v>THOMAS</v>
      </c>
      <c r="C58" s="15" t="str">
        <f aca="false">'Detail Notes S3'!C58</f>
        <v>Louis</v>
      </c>
      <c r="D58" s="15" t="str">
        <f aca="false">'Detail Notes S3'!D58</f>
        <v>2-B</v>
      </c>
      <c r="E58" s="31" t="n">
        <f aca="false">RANDBETWEEN(50,200)/10</f>
        <v>13</v>
      </c>
      <c r="F58" s="17" t="n">
        <f aca="false">RANK(E58,$E$3:$E$63)</f>
        <v>28</v>
      </c>
    </row>
    <row r="59" customFormat="false" ht="12.8" hidden="false" customHeight="false" outlineLevel="0" collapsed="false">
      <c r="A59" s="15" t="str">
        <f aca="false">'Detail Notes S3'!A59</f>
        <v>20150982</v>
      </c>
      <c r="B59" s="15" t="str">
        <f aca="false">'Detail Notes S3'!B59</f>
        <v>VANDEWOORDE</v>
      </c>
      <c r="C59" s="15" t="str">
        <f aca="false">'Detail Notes S3'!C59</f>
        <v>Aymeric</v>
      </c>
      <c r="D59" s="15" t="str">
        <f aca="false">'Detail Notes S3'!D59</f>
        <v>2-B</v>
      </c>
      <c r="E59" s="31" t="n">
        <f aca="false">RANDBETWEEN(50,200)/10</f>
        <v>5.6</v>
      </c>
      <c r="F59" s="17" t="n">
        <f aca="false">RANK(E59,$E$3:$E$63)</f>
        <v>58</v>
      </c>
    </row>
    <row r="60" customFormat="false" ht="12.8" hidden="false" customHeight="false" outlineLevel="0" collapsed="false">
      <c r="A60" s="15" t="str">
        <f aca="false">'Detail Notes S3'!A60</f>
        <v>20150983</v>
      </c>
      <c r="B60" s="15" t="str">
        <f aca="false">'Detail Notes S3'!B60</f>
        <v>VANROY</v>
      </c>
      <c r="C60" s="15" t="str">
        <f aca="false">'Detail Notes S3'!C60</f>
        <v>Julien</v>
      </c>
      <c r="D60" s="15" t="str">
        <f aca="false">'Detail Notes S3'!D60</f>
        <v>2-A</v>
      </c>
      <c r="E60" s="31" t="n">
        <f aca="false">RANDBETWEEN(50,200)/10</f>
        <v>9.7</v>
      </c>
      <c r="F60" s="17" t="n">
        <f aca="false">RANK(E60,$E$3:$E$63)</f>
        <v>45</v>
      </c>
    </row>
    <row r="61" customFormat="false" ht="12.8" hidden="false" customHeight="false" outlineLevel="0" collapsed="false">
      <c r="A61" s="15" t="str">
        <f aca="false">'Detail Notes S3'!A61</f>
        <v>20150984</v>
      </c>
      <c r="B61" s="15" t="str">
        <f aca="false">'Detail Notes S3'!B61</f>
        <v>VELLA</v>
      </c>
      <c r="C61" s="15" t="str">
        <f aca="false">'Detail Notes S3'!C61</f>
        <v>Emanuele</v>
      </c>
      <c r="D61" s="15" t="str">
        <f aca="false">'Detail Notes S3'!D61</f>
        <v>2-C</v>
      </c>
      <c r="E61" s="31" t="n">
        <f aca="false">RANDBETWEEN(50,200)/10</f>
        <v>11.7</v>
      </c>
      <c r="F61" s="17" t="n">
        <f aca="false">RANK(E61,$E$3:$E$63)</f>
        <v>39</v>
      </c>
    </row>
    <row r="62" customFormat="false" ht="12.8" hidden="false" customHeight="false" outlineLevel="0" collapsed="false">
      <c r="A62" s="15" t="str">
        <f aca="false">'Detail Notes S3'!A62</f>
        <v>20150985</v>
      </c>
      <c r="B62" s="15" t="str">
        <f aca="false">'Detail Notes S3'!B62</f>
        <v>VERPOEST</v>
      </c>
      <c r="C62" s="15" t="str">
        <f aca="false">'Detail Notes S3'!C62</f>
        <v>Sylvain</v>
      </c>
      <c r="D62" s="15" t="str">
        <f aca="false">'Detail Notes S3'!D62</f>
        <v>2-A</v>
      </c>
      <c r="E62" s="31" t="n">
        <f aca="false">RANDBETWEEN(50,200)/10</f>
        <v>12.1</v>
      </c>
      <c r="F62" s="17" t="n">
        <f aca="false">RANK(E62,$E$3:$E$63)</f>
        <v>36</v>
      </c>
    </row>
    <row r="63" customFormat="false" ht="12.8" hidden="false" customHeight="false" outlineLevel="0" collapsed="false">
      <c r="A63" s="15" t="str">
        <f aca="false">'Detail Notes S3'!A63</f>
        <v>20150986</v>
      </c>
      <c r="B63" s="15" t="str">
        <f aca="false">'Detail Notes S3'!B63</f>
        <v>WICART</v>
      </c>
      <c r="C63" s="15" t="str">
        <f aca="false">'Detail Notes S3'!C63</f>
        <v>Melvin</v>
      </c>
      <c r="D63" s="15" t="str">
        <f aca="false">'Detail Notes S3'!D63</f>
        <v>2-B</v>
      </c>
      <c r="E63" s="31" t="n">
        <f aca="false">RANDBETWEEN(50,200)/10</f>
        <v>8.9</v>
      </c>
      <c r="F63" s="17" t="n">
        <f aca="false">RANK(E63,$E$3:$E$63)</f>
        <v>49</v>
      </c>
    </row>
    <row r="64" customFormat="false" ht="12.8" hidden="false" customHeight="false" outlineLevel="0" collapsed="false">
      <c r="A64" s="0" t="str">
        <f aca="false">SE3!A64</f>
        <v>xxxxxxxxx</v>
      </c>
      <c r="C64" s="0" t="str">
        <f aca="false">SE3!C64</f>
        <v>Moyenne</v>
      </c>
      <c r="D64" s="1"/>
      <c r="E64" s="49"/>
    </row>
    <row r="65" customFormat="false" ht="12.8" hidden="false" customHeight="false" outlineLevel="0" collapsed="false">
      <c r="D65" s="1"/>
      <c r="E65" s="49"/>
    </row>
    <row r="66" customFormat="false" ht="12.8" hidden="false" customHeight="false" outlineLevel="0" collapsed="false">
      <c r="D66" s="1"/>
      <c r="E66" s="49"/>
    </row>
    <row r="67" customFormat="false" ht="12.8" hidden="false" customHeight="false" outlineLevel="0" collapsed="false">
      <c r="A67" s="15" t="str">
        <f aca="false">SE3!A67</f>
        <v>Département</v>
      </c>
      <c r="B67" s="33" t="str">
        <f aca="false">SE3!B67</f>
        <v>INFO</v>
      </c>
      <c r="D67" s="1"/>
      <c r="E67" s="49"/>
    </row>
    <row r="68" customFormat="false" ht="12.8" hidden="false" customHeight="false" outlineLevel="0" collapsed="false">
      <c r="A68" s="15" t="str">
        <f aca="false">SE3!A68</f>
        <v>Année</v>
      </c>
      <c r="B68" s="33" t="str">
        <f aca="false">SE3!B68</f>
        <v>INFO2</v>
      </c>
      <c r="D68" s="1"/>
      <c r="E68" s="49"/>
    </row>
    <row r="69" customFormat="false" ht="12.8" hidden="false" customHeight="false" outlineLevel="0" collapsed="false">
      <c r="A69" s="15" t="str">
        <f aca="false">SE3!A69</f>
        <v>Date début</v>
      </c>
      <c r="B69" s="50" t="n">
        <f aca="false">SE3!B69</f>
        <v>42614</v>
      </c>
      <c r="D69" s="1"/>
      <c r="E69" s="49"/>
    </row>
    <row r="70" customFormat="false" ht="12.8" hidden="false" customHeight="false" outlineLevel="0" collapsed="false">
      <c r="A70" s="15" t="str">
        <f aca="false">SE3!A70</f>
        <v>Date de fin </v>
      </c>
      <c r="B70" s="50" t="n">
        <v>42735</v>
      </c>
      <c r="D70" s="1"/>
      <c r="E70" s="49"/>
    </row>
    <row r="71" customFormat="false" ht="12.8" hidden="false" customHeight="false" outlineLevel="0" collapsed="false">
      <c r="A71" s="15" t="str">
        <f aca="false">SE3!A71</f>
        <v>Semestre</v>
      </c>
      <c r="B71" s="33" t="str">
        <f aca="false">SE3!B71</f>
        <v>S3</v>
      </c>
      <c r="D71" s="1"/>
      <c r="E71" s="49"/>
    </row>
    <row r="72" customFormat="false" ht="12.8" hidden="false" customHeight="false" outlineLevel="0" collapsed="false">
      <c r="A72" s="15" t="s">
        <v>314</v>
      </c>
      <c r="B72" s="33" t="s">
        <v>228</v>
      </c>
      <c r="D72" s="1"/>
      <c r="E72" s="49"/>
    </row>
    <row r="73" customFormat="false" ht="12.8" hidden="false" customHeight="false" outlineLevel="0" collapsed="false">
      <c r="A73" s="15" t="s">
        <v>315</v>
      </c>
      <c r="B73" s="33" t="s">
        <v>229</v>
      </c>
      <c r="D73" s="1"/>
      <c r="E73" s="49"/>
    </row>
    <row r="74" customFormat="false" ht="12.8" hidden="false" customHeight="false" outlineLevel="0" collapsed="false">
      <c r="A74" s="15" t="s">
        <v>220</v>
      </c>
      <c r="B74" s="33" t="n">
        <v>1.5</v>
      </c>
      <c r="D74" s="1"/>
      <c r="E74" s="49"/>
    </row>
    <row r="75" customFormat="false" ht="12.8" hidden="false" customHeight="false" outlineLevel="0" collapsed="false">
      <c r="A75" s="15" t="s">
        <v>316</v>
      </c>
      <c r="B75" s="33" t="s">
        <v>318</v>
      </c>
      <c r="D75" s="1"/>
      <c r="E75" s="49"/>
    </row>
    <row r="76" customFormat="false" ht="12.8" hidden="false" customHeight="false" outlineLevel="0" collapsed="false">
      <c r="A76" s="15" t="s">
        <v>304</v>
      </c>
      <c r="B76" s="51" t="n">
        <f aca="false">AVERAGE(E3:E63)</f>
        <v>12.7819672131148</v>
      </c>
      <c r="D76" s="1"/>
      <c r="E76" s="49"/>
    </row>
    <row r="77" customFormat="false" ht="12.8" hidden="false" customHeight="false" outlineLevel="0" collapsed="false">
      <c r="A77" s="15" t="s">
        <v>305</v>
      </c>
      <c r="B77" s="51" t="n">
        <f aca="false">MAX(E3:E63)</f>
        <v>19.9</v>
      </c>
      <c r="D77" s="1"/>
      <c r="E77" s="49"/>
    </row>
    <row r="78" customFormat="false" ht="12.8" hidden="false" customHeight="false" outlineLevel="0" collapsed="false">
      <c r="A78" s="15" t="s">
        <v>306</v>
      </c>
      <c r="B78" s="51" t="n">
        <f aca="false">MIN(E3:E63)</f>
        <v>5</v>
      </c>
      <c r="D78" s="1"/>
      <c r="E78" s="49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landscape" usePrinterDefaults="false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366</TotalTime>
  <Application>LibreOffice/4.4.6.3$Linux_X86_64 LibreOffice_project/40m0$Build-3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2017-02-01T20:48:10Z</dcterms:created>
  <dc:language>fr-FR</dc:language>
  <cp:lastModifiedBy>hsu tiente</cp:lastModifiedBy>
  <dcterms:modified xsi:type="dcterms:W3CDTF">2017-05-17T11:11:05Z</dcterms:modified>
  <cp:revision>29</cp:revision>
</cp:coreProperties>
</file>